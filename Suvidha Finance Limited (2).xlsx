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https://d.docs.live.net/FEFCB16FE269665A/Documents/"/>
    </mc:Choice>
  </mc:AlternateContent>
  <xr:revisionPtr revIDLastSave="2180" documentId="8_{EECD5C5B-E1FE-4E93-AC50-B23F0111D72F}" xr6:coauthVersionLast="47" xr6:coauthVersionMax="47" xr10:uidLastSave="{220E500E-73C2-4667-BF81-F494578D9BCD}"/>
  <bookViews>
    <workbookView xWindow="-108" yWindow="-108" windowWidth="23256" windowHeight="12456" firstSheet="1" activeTab="2" xr2:uid="{AD2F650C-74A7-491D-9F98-181552D4A588}"/>
  </bookViews>
  <sheets>
    <sheet name="BusinessProblem" sheetId="2" state="hidden" r:id="rId1"/>
    <sheet name="FieldDetails" sheetId="3" r:id="rId2"/>
    <sheet name="pivot tables" sheetId="6" r:id="rId3"/>
    <sheet name="Sheet2" sheetId="11" state="hidden" r:id="rId4"/>
    <sheet name="LoanData" sheetId="1" r:id="rId5"/>
    <sheet name="PivotProblems" sheetId="5" r:id="rId6"/>
    <sheet name="RISK ANALYSIS DASHBORD" sheetId="9" r:id="rId7"/>
    <sheet name="MAIN DASHBORD" sheetId="10" r:id="rId8"/>
  </sheets>
  <definedNames>
    <definedName name="_xlchart.v2.0" hidden="1">'pivot tables'!$F$72:$F$74</definedName>
    <definedName name="_xlchart.v2.1" hidden="1">'pivot tables'!$G$72:$G$74</definedName>
    <definedName name="Slicer_LoanProduct">#N/A</definedName>
    <definedName name="Slicer_Months__DisbursementDate">#N/A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7" i="6" l="1" a="1"/>
  <c r="F147" i="6" s="1"/>
  <c r="F85" i="6" a="1"/>
  <c r="F85" i="6" s="1"/>
  <c r="H72" i="6" a="1"/>
  <c r="H72" i="6" s="1"/>
  <c r="H60" i="6" a="1"/>
  <c r="H60" i="6" s="1"/>
  <c r="F72" i="6" a="1"/>
  <c r="F72" i="6" s="1"/>
  <c r="F60" i="6" a="1"/>
  <c r="F60" i="6" s="1"/>
  <c r="F43" i="6" a="1"/>
  <c r="F43" i="6" s="1"/>
  <c r="F27" i="6"/>
  <c r="F28" i="6"/>
  <c r="F29" i="6"/>
  <c r="F30" i="6"/>
  <c r="F31" i="6"/>
  <c r="F32" i="6"/>
  <c r="F33" i="6"/>
  <c r="F34" i="6"/>
  <c r="F35" i="6"/>
  <c r="H29" i="1" a="1"/>
  <c r="H29" i="1"/>
  <c r="H30" i="1" a="1"/>
  <c r="H30" i="1"/>
  <c r="H31" i="1" a="1"/>
  <c r="H31" i="1"/>
  <c r="H32" i="1" a="1"/>
  <c r="H32" i="1"/>
  <c r="H33" i="1" a="1"/>
  <c r="H33" i="1"/>
  <c r="H34" i="1" a="1"/>
  <c r="H34" i="1"/>
  <c r="H35" i="1" a="1"/>
  <c r="H35" i="1"/>
  <c r="H36" i="1" a="1"/>
  <c r="H36" i="1"/>
  <c r="H37" i="1" a="1"/>
  <c r="H37" i="1"/>
  <c r="H38" i="1" a="1"/>
  <c r="H38" i="1"/>
  <c r="H39" i="1" a="1"/>
  <c r="H39" i="1"/>
  <c r="H40" i="1" a="1"/>
  <c r="H40" i="1"/>
  <c r="H41" i="1" a="1"/>
  <c r="H41" i="1"/>
  <c r="H42" i="1" a="1"/>
  <c r="H42" i="1"/>
  <c r="H43" i="1" a="1"/>
  <c r="H43" i="1"/>
  <c r="H44" i="1" a="1"/>
  <c r="H44" i="1"/>
  <c r="H45" i="1" a="1"/>
  <c r="H45" i="1"/>
  <c r="H46" i="1" a="1"/>
  <c r="H46" i="1"/>
  <c r="H47" i="1" a="1"/>
  <c r="H47" i="1"/>
  <c r="H48" i="1" a="1"/>
  <c r="H48" i="1"/>
  <c r="H49" i="1" a="1"/>
  <c r="H49" i="1"/>
  <c r="H50" i="1" a="1"/>
  <c r="H50" i="1"/>
  <c r="H51" i="1" a="1"/>
  <c r="H51" i="1"/>
  <c r="H52" i="1" a="1"/>
  <c r="H52" i="1"/>
  <c r="H53" i="1" a="1"/>
  <c r="H53" i="1"/>
  <c r="H54" i="1" a="1"/>
  <c r="H54" i="1"/>
  <c r="H55" i="1" a="1"/>
  <c r="H55" i="1"/>
  <c r="H56" i="1" a="1"/>
  <c r="H56" i="1"/>
  <c r="H57" i="1" a="1"/>
  <c r="H57" i="1"/>
  <c r="H58" i="1" a="1"/>
  <c r="H58" i="1"/>
  <c r="H59" i="1" a="1"/>
  <c r="H59" i="1"/>
  <c r="H60" i="1" a="1"/>
  <c r="H60" i="1"/>
  <c r="H61" i="1" a="1"/>
  <c r="H61" i="1"/>
  <c r="H62" i="1" a="1"/>
  <c r="H62" i="1"/>
  <c r="H63" i="1" a="1"/>
  <c r="H63" i="1"/>
  <c r="H64" i="1" a="1"/>
  <c r="H64" i="1"/>
  <c r="H65" i="1" a="1"/>
  <c r="H65" i="1"/>
  <c r="H66" i="1" a="1"/>
  <c r="H66" i="1"/>
  <c r="H67" i="1" a="1"/>
  <c r="H67" i="1"/>
  <c r="H68" i="1" a="1"/>
  <c r="H68" i="1"/>
  <c r="H69" i="1" a="1"/>
  <c r="H69" i="1"/>
  <c r="H70" i="1" a="1"/>
  <c r="H70" i="1"/>
  <c r="H71" i="1" a="1"/>
  <c r="H71" i="1"/>
  <c r="H72" i="1" a="1"/>
  <c r="H72" i="1"/>
  <c r="H73" i="1" a="1"/>
  <c r="H73" i="1"/>
  <c r="H74" i="1" a="1"/>
  <c r="H74" i="1"/>
  <c r="H75" i="1" a="1"/>
  <c r="H75" i="1"/>
  <c r="H76" i="1" a="1"/>
  <c r="H76" i="1"/>
  <c r="H77" i="1" a="1"/>
  <c r="H77" i="1"/>
  <c r="H78" i="1" a="1"/>
  <c r="H78" i="1"/>
  <c r="H79" i="1" a="1"/>
  <c r="H79" i="1"/>
  <c r="H80" i="1" a="1"/>
  <c r="H80" i="1"/>
  <c r="H81" i="1" a="1"/>
  <c r="H81" i="1"/>
  <c r="H82" i="1" a="1"/>
  <c r="H82" i="1"/>
  <c r="H83" i="1" a="1"/>
  <c r="H83" i="1"/>
  <c r="H84" i="1" a="1"/>
  <c r="H84" i="1"/>
  <c r="H85" i="1" a="1"/>
  <c r="H85" i="1"/>
  <c r="H86" i="1" a="1"/>
  <c r="H86" i="1"/>
  <c r="H87" i="1" a="1"/>
  <c r="H87" i="1"/>
  <c r="H88" i="1" a="1"/>
  <c r="H88" i="1"/>
  <c r="H89" i="1" a="1"/>
  <c r="H89" i="1"/>
  <c r="H90" i="1" a="1"/>
  <c r="H90" i="1"/>
  <c r="H91" i="1" a="1"/>
  <c r="H91" i="1"/>
  <c r="H92" i="1" a="1"/>
  <c r="H92" i="1"/>
  <c r="H93" i="1" a="1"/>
  <c r="H93" i="1"/>
  <c r="H94" i="1" a="1"/>
  <c r="H94" i="1"/>
  <c r="H95" i="1" a="1"/>
  <c r="H95" i="1"/>
  <c r="H96" i="1" a="1"/>
  <c r="H96" i="1"/>
  <c r="H97" i="1" a="1"/>
  <c r="H97" i="1"/>
  <c r="H98" i="1" a="1"/>
  <c r="H98" i="1"/>
  <c r="H99" i="1" a="1"/>
  <c r="H99" i="1"/>
  <c r="H100" i="1" a="1"/>
  <c r="H100" i="1"/>
  <c r="H101" i="1" a="1"/>
  <c r="H101" i="1"/>
  <c r="H102" i="1" a="1"/>
  <c r="H102" i="1"/>
  <c r="H103" i="1" a="1"/>
  <c r="H103" i="1"/>
  <c r="H104" i="1" a="1"/>
  <c r="H104" i="1"/>
  <c r="H105" i="1" a="1"/>
  <c r="H105" i="1"/>
  <c r="H106" i="1" a="1"/>
  <c r="H106" i="1"/>
  <c r="H107" i="1" a="1"/>
  <c r="H107" i="1"/>
  <c r="H108" i="1" a="1"/>
  <c r="H108" i="1"/>
  <c r="H109" i="1" a="1"/>
  <c r="H109" i="1"/>
  <c r="H110" i="1" a="1"/>
  <c r="H110" i="1"/>
  <c r="H111" i="1" a="1"/>
  <c r="H111" i="1"/>
  <c r="H112" i="1" a="1"/>
  <c r="H112" i="1"/>
  <c r="H113" i="1" a="1"/>
  <c r="H113" i="1"/>
  <c r="H114" i="1" a="1"/>
  <c r="H114" i="1"/>
  <c r="H115" i="1" a="1"/>
  <c r="H115" i="1"/>
  <c r="H116" i="1" a="1"/>
  <c r="H116" i="1"/>
  <c r="H117" i="1" a="1"/>
  <c r="H117" i="1"/>
  <c r="H118" i="1" a="1"/>
  <c r="H118" i="1"/>
  <c r="H119" i="1" a="1"/>
  <c r="H119" i="1"/>
  <c r="H120" i="1" a="1"/>
  <c r="H120" i="1"/>
  <c r="H121" i="1" a="1"/>
  <c r="H121" i="1"/>
  <c r="H122" i="1" a="1"/>
  <c r="H122" i="1"/>
  <c r="H123" i="1" a="1"/>
  <c r="H123" i="1"/>
  <c r="H124" i="1" a="1"/>
  <c r="H124" i="1"/>
  <c r="H125" i="1" a="1"/>
  <c r="H125" i="1"/>
  <c r="H126" i="1" a="1"/>
  <c r="H126" i="1"/>
  <c r="H127" i="1" a="1"/>
  <c r="H127" i="1"/>
  <c r="H128" i="1" a="1"/>
  <c r="H128" i="1"/>
  <c r="H129" i="1" a="1"/>
  <c r="H129" i="1"/>
  <c r="H130" i="1" a="1"/>
  <c r="H130" i="1"/>
  <c r="H131" i="1" a="1"/>
  <c r="H131" i="1"/>
  <c r="H132" i="1" a="1"/>
  <c r="H132" i="1"/>
  <c r="H133" i="1" a="1"/>
  <c r="H133" i="1"/>
  <c r="H134" i="1" a="1"/>
  <c r="H134" i="1"/>
  <c r="H135" i="1" a="1"/>
  <c r="H135" i="1"/>
  <c r="H136" i="1" a="1"/>
  <c r="H136" i="1"/>
  <c r="H137" i="1" a="1"/>
  <c r="H137" i="1"/>
  <c r="H138" i="1" a="1"/>
  <c r="H138" i="1"/>
  <c r="H139" i="1" a="1"/>
  <c r="H139" i="1"/>
  <c r="H140" i="1" a="1"/>
  <c r="H140" i="1"/>
  <c r="H141" i="1" a="1"/>
  <c r="H141" i="1"/>
  <c r="H142" i="1" a="1"/>
  <c r="H142" i="1"/>
  <c r="H143" i="1" a="1"/>
  <c r="H143" i="1"/>
  <c r="H144" i="1" a="1"/>
  <c r="H144" i="1"/>
  <c r="H145" i="1" a="1"/>
  <c r="H145" i="1"/>
  <c r="H146" i="1" a="1"/>
  <c r="H146" i="1"/>
  <c r="H147" i="1" a="1"/>
  <c r="H147" i="1"/>
  <c r="H148" i="1" a="1"/>
  <c r="H148" i="1"/>
  <c r="H149" i="1" a="1"/>
  <c r="H149" i="1"/>
  <c r="H150" i="1" a="1"/>
  <c r="H150" i="1"/>
  <c r="H151" i="1" a="1"/>
  <c r="H151" i="1"/>
  <c r="H152" i="1" a="1"/>
  <c r="H152" i="1"/>
  <c r="H153" i="1" a="1"/>
  <c r="H153" i="1"/>
  <c r="H154" i="1" a="1"/>
  <c r="H154" i="1"/>
  <c r="H155" i="1" a="1"/>
  <c r="H155" i="1"/>
  <c r="H156" i="1" a="1"/>
  <c r="H156" i="1"/>
  <c r="H157" i="1" a="1"/>
  <c r="H157" i="1"/>
  <c r="H158" i="1" a="1"/>
  <c r="H158" i="1"/>
  <c r="H159" i="1" a="1"/>
  <c r="H159" i="1"/>
  <c r="H160" i="1" a="1"/>
  <c r="H160" i="1"/>
  <c r="H161" i="1" a="1"/>
  <c r="H161" i="1"/>
  <c r="H162" i="1" a="1"/>
  <c r="H162" i="1"/>
  <c r="H163" i="1" a="1"/>
  <c r="H163" i="1"/>
  <c r="H164" i="1" a="1"/>
  <c r="H164" i="1"/>
  <c r="H165" i="1" a="1"/>
  <c r="H165" i="1"/>
  <c r="H166" i="1" a="1"/>
  <c r="H166" i="1"/>
  <c r="H167" i="1" a="1"/>
  <c r="H167" i="1"/>
  <c r="H168" i="1" a="1"/>
  <c r="H168" i="1"/>
  <c r="H169" i="1" a="1"/>
  <c r="H169" i="1"/>
  <c r="H170" i="1" a="1"/>
  <c r="H170" i="1"/>
  <c r="H171" i="1" a="1"/>
  <c r="H171" i="1"/>
  <c r="H172" i="1" a="1"/>
  <c r="H172" i="1"/>
  <c r="H173" i="1" a="1"/>
  <c r="H173" i="1"/>
  <c r="H174" i="1" a="1"/>
  <c r="H174" i="1"/>
  <c r="H175" i="1" a="1"/>
  <c r="H175" i="1"/>
  <c r="H176" i="1" a="1"/>
  <c r="H176" i="1"/>
  <c r="H177" i="1" a="1"/>
  <c r="H177" i="1"/>
  <c r="H178" i="1" a="1"/>
  <c r="H178" i="1"/>
  <c r="H179" i="1" a="1"/>
  <c r="H179" i="1"/>
  <c r="H180" i="1" a="1"/>
  <c r="H180" i="1"/>
  <c r="H181" i="1" a="1"/>
  <c r="H181" i="1"/>
  <c r="H182" i="1" a="1"/>
  <c r="H182" i="1"/>
  <c r="H183" i="1" a="1"/>
  <c r="H183" i="1"/>
  <c r="H184" i="1" a="1"/>
  <c r="H184" i="1"/>
  <c r="H185" i="1" a="1"/>
  <c r="H185" i="1"/>
  <c r="H186" i="1" a="1"/>
  <c r="H186" i="1"/>
  <c r="H187" i="1" a="1"/>
  <c r="H187" i="1"/>
  <c r="H188" i="1" a="1"/>
  <c r="H188" i="1"/>
  <c r="H189" i="1" a="1"/>
  <c r="H189" i="1"/>
  <c r="H190" i="1" a="1"/>
  <c r="H190" i="1"/>
  <c r="H191" i="1" a="1"/>
  <c r="H191" i="1"/>
  <c r="H192" i="1" a="1"/>
  <c r="H192" i="1"/>
  <c r="H193" i="1" a="1"/>
  <c r="H193" i="1"/>
  <c r="H194" i="1" a="1"/>
  <c r="H194" i="1"/>
  <c r="H195" i="1" a="1"/>
  <c r="H195" i="1"/>
  <c r="H196" i="1" a="1"/>
  <c r="H196" i="1"/>
  <c r="H197" i="1" a="1"/>
  <c r="H197" i="1"/>
  <c r="H198" i="1" a="1"/>
  <c r="H198" i="1"/>
  <c r="H199" i="1" a="1"/>
  <c r="H199" i="1"/>
  <c r="H200" i="1" a="1"/>
  <c r="H200" i="1"/>
  <c r="H201" i="1" a="1"/>
  <c r="H201" i="1"/>
  <c r="H28" i="1" a="1"/>
  <c r="H28" i="1" s="1"/>
  <c r="H3" i="1" a="1"/>
  <c r="H3" i="1"/>
  <c r="H4" i="1" a="1"/>
  <c r="H4" i="1" s="1"/>
  <c r="H5" i="1" a="1"/>
  <c r="H5" i="1"/>
  <c r="H6" i="1" a="1"/>
  <c r="H6" i="1"/>
  <c r="H7" i="1" a="1"/>
  <c r="H7" i="1"/>
  <c r="H8" i="1" a="1"/>
  <c r="H8" i="1"/>
  <c r="H9" i="1" a="1"/>
  <c r="H9" i="1"/>
  <c r="H10" i="1" a="1"/>
  <c r="H10" i="1" s="1"/>
  <c r="H11" i="1" a="1"/>
  <c r="H11" i="1"/>
  <c r="H12" i="1" a="1"/>
  <c r="H12" i="1"/>
  <c r="H13" i="1" a="1"/>
  <c r="H13" i="1"/>
  <c r="H14" i="1" a="1"/>
  <c r="H14" i="1"/>
  <c r="H15" i="1" a="1"/>
  <c r="H15" i="1"/>
  <c r="H16" i="1" a="1"/>
  <c r="H16" i="1" s="1"/>
  <c r="H17" i="1" a="1"/>
  <c r="H17" i="1"/>
  <c r="H18" i="1" a="1"/>
  <c r="H18" i="1"/>
  <c r="H19" i="1" a="1"/>
  <c r="H19" i="1"/>
  <c r="H20" i="1" a="1"/>
  <c r="H20" i="1"/>
  <c r="H21" i="1" a="1"/>
  <c r="H21" i="1"/>
  <c r="H22" i="1" a="1"/>
  <c r="H22" i="1" s="1"/>
  <c r="H23" i="1" a="1"/>
  <c r="H23" i="1"/>
  <c r="H24" i="1" a="1"/>
  <c r="H24" i="1"/>
  <c r="H25" i="1" a="1"/>
  <c r="H25" i="1"/>
  <c r="H26" i="1" a="1"/>
  <c r="H26" i="1"/>
  <c r="H27" i="1" a="1"/>
  <c r="H27" i="1"/>
  <c r="H2" i="1" a="1"/>
  <c r="H2" i="1" s="1"/>
  <c r="G72" i="6"/>
  <c r="G142" i="6"/>
  <c r="G45" i="6"/>
  <c r="G85" i="6"/>
  <c r="G147" i="6"/>
  <c r="G148" i="6"/>
  <c r="G27" i="6"/>
  <c r="G193" i="6"/>
  <c r="E158" i="6"/>
  <c r="E91" i="6"/>
  <c r="G9" i="6"/>
  <c r="I74" i="6"/>
  <c r="F139" i="6"/>
  <c r="I64" i="6"/>
  <c r="G151" i="6"/>
  <c r="G88" i="6"/>
  <c r="I32" i="6"/>
  <c r="G29" i="6"/>
  <c r="G33" i="6"/>
  <c r="G149" i="6"/>
  <c r="G46" i="6"/>
  <c r="F17" i="6"/>
  <c r="G87" i="6"/>
  <c r="I60" i="6"/>
  <c r="G150" i="6"/>
  <c r="G86" i="6"/>
  <c r="G63" i="6"/>
  <c r="G43" i="6"/>
  <c r="G61" i="6"/>
  <c r="H43" i="6"/>
  <c r="G44" i="6"/>
  <c r="G30" i="6"/>
  <c r="G154" i="6"/>
  <c r="I63" i="6"/>
  <c r="I62" i="6"/>
  <c r="G31" i="6"/>
  <c r="I73" i="6"/>
  <c r="I72" i="6"/>
  <c r="G62" i="6"/>
  <c r="G153" i="6"/>
  <c r="I61" i="6"/>
  <c r="G64" i="6"/>
  <c r="G34" i="6"/>
  <c r="G74" i="6"/>
  <c r="I29" i="6"/>
  <c r="F50" i="6"/>
  <c r="G60" i="6"/>
  <c r="G32" i="6"/>
  <c r="F9" i="6"/>
  <c r="J4" i="6"/>
  <c r="F5" i="6"/>
  <c r="G28" i="6"/>
  <c r="G73" i="6"/>
  <c r="G15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<sst xmlns="http://schemas.openxmlformats.org/spreadsheetml/2006/main" count="1732" uniqueCount="573">
  <si>
    <t>LoanID</t>
  </si>
  <si>
    <t>BranchName</t>
  </si>
  <si>
    <t>Region</t>
  </si>
  <si>
    <t>LoanProduct</t>
  </si>
  <si>
    <t>CustomerID</t>
  </si>
  <si>
    <t>EmploymentType</t>
  </si>
  <si>
    <t>CustomerAge</t>
  </si>
  <si>
    <t>DisbursementDate</t>
  </si>
  <si>
    <t>LoanAmount</t>
  </si>
  <si>
    <t>TenureMonths</t>
  </si>
  <si>
    <t>InterestRate</t>
  </si>
  <si>
    <t>EMIAmount</t>
  </si>
  <si>
    <t>MonthsElapsed</t>
  </si>
  <si>
    <t>InstallmentsPaid</t>
  </si>
  <si>
    <t>AmountCollectedTillDate</t>
  </si>
  <si>
    <t>OutstandingPrincipal</t>
  </si>
  <si>
    <t>DPD</t>
  </si>
  <si>
    <t>LoanStatus</t>
  </si>
  <si>
    <t>InterestIncomeEarned</t>
  </si>
  <si>
    <t>SFL-10001</t>
  </si>
  <si>
    <t>Bengaluru-01</t>
  </si>
  <si>
    <t>South</t>
  </si>
  <si>
    <t>Vehicle Loan</t>
  </si>
  <si>
    <t>CUS-4001</t>
  </si>
  <si>
    <t>Self-Employed</t>
  </si>
  <si>
    <t>Active</t>
  </si>
  <si>
    <t>SFL-10002</t>
  </si>
  <si>
    <t>Delhi-01</t>
  </si>
  <si>
    <t>North</t>
  </si>
  <si>
    <t>Gold Loan</t>
  </si>
  <si>
    <t>CUS-4002</t>
  </si>
  <si>
    <t>Salaried</t>
  </si>
  <si>
    <t>SFL-10003</t>
  </si>
  <si>
    <t>Pune-01</t>
  </si>
  <si>
    <t>West</t>
  </si>
  <si>
    <t>Personal Loan</t>
  </si>
  <si>
    <t>CUS-4003</t>
  </si>
  <si>
    <t>SFL-10004</t>
  </si>
  <si>
    <t>CUS-4004</t>
  </si>
  <si>
    <t>SFL-10005</t>
  </si>
  <si>
    <t>Mumbai-01</t>
  </si>
  <si>
    <t>CUS-4005</t>
  </si>
  <si>
    <t>Business Owner</t>
  </si>
  <si>
    <t>SFL-10006</t>
  </si>
  <si>
    <t>CUS-4006</t>
  </si>
  <si>
    <t>SFL-10007</t>
  </si>
  <si>
    <t>CUS-4007</t>
  </si>
  <si>
    <t>Overdue</t>
  </si>
  <si>
    <t>SFL-10008</t>
  </si>
  <si>
    <t>Home Improvement Loan</t>
  </si>
  <si>
    <t>CUS-4008</t>
  </si>
  <si>
    <t>SFL-10009</t>
  </si>
  <si>
    <t>Kolkata-01</t>
  </si>
  <si>
    <t>East</t>
  </si>
  <si>
    <t>CUS-4009</t>
  </si>
  <si>
    <t>NPA</t>
  </si>
  <si>
    <t>SFL-10010</t>
  </si>
  <si>
    <t>Business Loan</t>
  </si>
  <si>
    <t>CUS-4010</t>
  </si>
  <si>
    <t>SFL-10011</t>
  </si>
  <si>
    <t>Chennai-01</t>
  </si>
  <si>
    <t>CUS-4011</t>
  </si>
  <si>
    <t>SFL-10012</t>
  </si>
  <si>
    <t>CUS-4012</t>
  </si>
  <si>
    <t>SFL-10013</t>
  </si>
  <si>
    <t>Lucknow-01</t>
  </si>
  <si>
    <t>CUS-4013</t>
  </si>
  <si>
    <t>SFL-10014</t>
  </si>
  <si>
    <t>CUS-4014</t>
  </si>
  <si>
    <t>SFL-10015</t>
  </si>
  <si>
    <t>CUS-4015</t>
  </si>
  <si>
    <t>SFL-10016</t>
  </si>
  <si>
    <t>CUS-4016</t>
  </si>
  <si>
    <t>SFL-10017</t>
  </si>
  <si>
    <t>CUS-4017</t>
  </si>
  <si>
    <t>SFL-10018</t>
  </si>
  <si>
    <t>CUS-4018</t>
  </si>
  <si>
    <t>SFL-10019</t>
  </si>
  <si>
    <t>CUS-4019</t>
  </si>
  <si>
    <t>SFL-10020</t>
  </si>
  <si>
    <t>Bhubaneswar-01</t>
  </si>
  <si>
    <t>CUS-4020</t>
  </si>
  <si>
    <t>SFL-10021</t>
  </si>
  <si>
    <t>CUS-4021</t>
  </si>
  <si>
    <t>SFL-10022</t>
  </si>
  <si>
    <t>CUS-4022</t>
  </si>
  <si>
    <t>SFL-10023</t>
  </si>
  <si>
    <t>CUS-4023</t>
  </si>
  <si>
    <t>SFL-10024</t>
  </si>
  <si>
    <t>CUS-4024</t>
  </si>
  <si>
    <t>SFL-10025</t>
  </si>
  <si>
    <t>CUS-4025</t>
  </si>
  <si>
    <t>SFL-10026</t>
  </si>
  <si>
    <t>CUS-4026</t>
  </si>
  <si>
    <t>SFL-10027</t>
  </si>
  <si>
    <t>CUS-4027</t>
  </si>
  <si>
    <t>SFL-10028</t>
  </si>
  <si>
    <t>CUS-4028</t>
  </si>
  <si>
    <t>SFL-10029</t>
  </si>
  <si>
    <t>CUS-4029</t>
  </si>
  <si>
    <t>SFL-10030</t>
  </si>
  <si>
    <t>CUS-4030</t>
  </si>
  <si>
    <t>SFL-10031</t>
  </si>
  <si>
    <t>CUS-4031</t>
  </si>
  <si>
    <t>SFL-10032</t>
  </si>
  <si>
    <t>CUS-4032</t>
  </si>
  <si>
    <t>SFL-10033</t>
  </si>
  <si>
    <t>CUS-4033</t>
  </si>
  <si>
    <t>SFL-10034</t>
  </si>
  <si>
    <t>CUS-4034</t>
  </si>
  <si>
    <t>SFL-10035</t>
  </si>
  <si>
    <t>CUS-4035</t>
  </si>
  <si>
    <t>SFL-10036</t>
  </si>
  <si>
    <t>CUS-4036</t>
  </si>
  <si>
    <t>SFL-10037</t>
  </si>
  <si>
    <t>CUS-4037</t>
  </si>
  <si>
    <t>SFL-10038</t>
  </si>
  <si>
    <t>CUS-4038</t>
  </si>
  <si>
    <t>SFL-10039</t>
  </si>
  <si>
    <t>CUS-4039</t>
  </si>
  <si>
    <t>SFL-10040</t>
  </si>
  <si>
    <t>CUS-4040</t>
  </si>
  <si>
    <t>SFL-10041</t>
  </si>
  <si>
    <t>CUS-4041</t>
  </si>
  <si>
    <t>SFL-10042</t>
  </si>
  <si>
    <t>CUS-4042</t>
  </si>
  <si>
    <t>SFL-10043</t>
  </si>
  <si>
    <t>CUS-4043</t>
  </si>
  <si>
    <t>SFL-10044</t>
  </si>
  <si>
    <t>CUS-4044</t>
  </si>
  <si>
    <t>SFL-10045</t>
  </si>
  <si>
    <t>CUS-4045</t>
  </si>
  <si>
    <t>SFL-10046</t>
  </si>
  <si>
    <t>CUS-4046</t>
  </si>
  <si>
    <t>SFL-10047</t>
  </si>
  <si>
    <t>CUS-4047</t>
  </si>
  <si>
    <t>SFL-10048</t>
  </si>
  <si>
    <t>CUS-4048</t>
  </si>
  <si>
    <t>SFL-10049</t>
  </si>
  <si>
    <t>CUS-4049</t>
  </si>
  <si>
    <t>SFL-10050</t>
  </si>
  <si>
    <t>CUS-4050</t>
  </si>
  <si>
    <t>SFL-10051</t>
  </si>
  <si>
    <t>CUS-4051</t>
  </si>
  <si>
    <t>SFL-10052</t>
  </si>
  <si>
    <t>CUS-4052</t>
  </si>
  <si>
    <t>SFL-10053</t>
  </si>
  <si>
    <t>CUS-4053</t>
  </si>
  <si>
    <t>SFL-10054</t>
  </si>
  <si>
    <t>CUS-4054</t>
  </si>
  <si>
    <t>SFL-10055</t>
  </si>
  <si>
    <t>CUS-4055</t>
  </si>
  <si>
    <t>SFL-10056</t>
  </si>
  <si>
    <t>CUS-4056</t>
  </si>
  <si>
    <t>SFL-10057</t>
  </si>
  <si>
    <t>CUS-4057</t>
  </si>
  <si>
    <t>SFL-10058</t>
  </si>
  <si>
    <t>CUS-4058</t>
  </si>
  <si>
    <t>SFL-10059</t>
  </si>
  <si>
    <t>CUS-4059</t>
  </si>
  <si>
    <t>SFL-10060</t>
  </si>
  <si>
    <t>CUS-4060</t>
  </si>
  <si>
    <t>SFL-10061</t>
  </si>
  <si>
    <t>CUS-4061</t>
  </si>
  <si>
    <t>SFL-10062</t>
  </si>
  <si>
    <t>CUS-4062</t>
  </si>
  <si>
    <t>SFL-10063</t>
  </si>
  <si>
    <t>CUS-4063</t>
  </si>
  <si>
    <t>SFL-10064</t>
  </si>
  <si>
    <t>CUS-4064</t>
  </si>
  <si>
    <t>SFL-10065</t>
  </si>
  <si>
    <t>CUS-4065</t>
  </si>
  <si>
    <t>SFL-10066</t>
  </si>
  <si>
    <t>CUS-4066</t>
  </si>
  <si>
    <t>SFL-10067</t>
  </si>
  <si>
    <t>CUS-4067</t>
  </si>
  <si>
    <t>SFL-10068</t>
  </si>
  <si>
    <t>CUS-4068</t>
  </si>
  <si>
    <t>SFL-10069</t>
  </si>
  <si>
    <t>CUS-4069</t>
  </si>
  <si>
    <t>SFL-10070</t>
  </si>
  <si>
    <t>CUS-4070</t>
  </si>
  <si>
    <t>SFL-10071</t>
  </si>
  <si>
    <t>CUS-4071</t>
  </si>
  <si>
    <t>SFL-10072</t>
  </si>
  <si>
    <t>CUS-4072</t>
  </si>
  <si>
    <t>SFL-10073</t>
  </si>
  <si>
    <t>CUS-4073</t>
  </si>
  <si>
    <t>SFL-10074</t>
  </si>
  <si>
    <t>CUS-4074</t>
  </si>
  <si>
    <t>SFL-10075</t>
  </si>
  <si>
    <t>CUS-4075</t>
  </si>
  <si>
    <t>SFL-10076</t>
  </si>
  <si>
    <t>CUS-4076</t>
  </si>
  <si>
    <t>SFL-10077</t>
  </si>
  <si>
    <t>CUS-4077</t>
  </si>
  <si>
    <t>SFL-10078</t>
  </si>
  <si>
    <t>CUS-4078</t>
  </si>
  <si>
    <t>SFL-10079</t>
  </si>
  <si>
    <t>CUS-4079</t>
  </si>
  <si>
    <t>SFL-10080</t>
  </si>
  <si>
    <t>CUS-4080</t>
  </si>
  <si>
    <t>SFL-10081</t>
  </si>
  <si>
    <t>CUS-4081</t>
  </si>
  <si>
    <t>SFL-10082</t>
  </si>
  <si>
    <t>CUS-4082</t>
  </si>
  <si>
    <t>SFL-10083</t>
  </si>
  <si>
    <t>CUS-4083</t>
  </si>
  <si>
    <t>SFL-10084</t>
  </si>
  <si>
    <t>CUS-4084</t>
  </si>
  <si>
    <t>SFL-10085</t>
  </si>
  <si>
    <t>CUS-4085</t>
  </si>
  <si>
    <t>SFL-10086</t>
  </si>
  <si>
    <t>CUS-4086</t>
  </si>
  <si>
    <t>SFL-10087</t>
  </si>
  <si>
    <t>CUS-4087</t>
  </si>
  <si>
    <t>SFL-10088</t>
  </si>
  <si>
    <t>CUS-4088</t>
  </si>
  <si>
    <t>SFL-10089</t>
  </si>
  <si>
    <t>CUS-4089</t>
  </si>
  <si>
    <t>SFL-10090</t>
  </si>
  <si>
    <t>CUS-4090</t>
  </si>
  <si>
    <t>SFL-10091</t>
  </si>
  <si>
    <t>CUS-4091</t>
  </si>
  <si>
    <t>SFL-10092</t>
  </si>
  <si>
    <t>CUS-4092</t>
  </si>
  <si>
    <t>SFL-10093</t>
  </si>
  <si>
    <t>CUS-4093</t>
  </si>
  <si>
    <t>SFL-10094</t>
  </si>
  <si>
    <t>CUS-4094</t>
  </si>
  <si>
    <t>SFL-10095</t>
  </si>
  <si>
    <t>CUS-4095</t>
  </si>
  <si>
    <t>SFL-10096</t>
  </si>
  <si>
    <t>CUS-4096</t>
  </si>
  <si>
    <t>SFL-10097</t>
  </si>
  <si>
    <t>CUS-4097</t>
  </si>
  <si>
    <t>SFL-10098</t>
  </si>
  <si>
    <t>CUS-4098</t>
  </si>
  <si>
    <t>SFL-10099</t>
  </si>
  <si>
    <t>CUS-4099</t>
  </si>
  <si>
    <t>SFL-10100</t>
  </si>
  <si>
    <t>CUS-4100</t>
  </si>
  <si>
    <t>SFL-10101</t>
  </si>
  <si>
    <t>CUS-4101</t>
  </si>
  <si>
    <t>SFL-10102</t>
  </si>
  <si>
    <t>CUS-4102</t>
  </si>
  <si>
    <t>SFL-10103</t>
  </si>
  <si>
    <t>CUS-4103</t>
  </si>
  <si>
    <t>SFL-10104</t>
  </si>
  <si>
    <t>CUS-4104</t>
  </si>
  <si>
    <t>SFL-10105</t>
  </si>
  <si>
    <t>CUS-4105</t>
  </si>
  <si>
    <t>SFL-10106</t>
  </si>
  <si>
    <t>CUS-4106</t>
  </si>
  <si>
    <t>SFL-10107</t>
  </si>
  <si>
    <t>CUS-4107</t>
  </si>
  <si>
    <t>SFL-10108</t>
  </si>
  <si>
    <t>CUS-4108</t>
  </si>
  <si>
    <t>SFL-10109</t>
  </si>
  <si>
    <t>CUS-4109</t>
  </si>
  <si>
    <t>SFL-10110</t>
  </si>
  <si>
    <t>CUS-4110</t>
  </si>
  <si>
    <t>SFL-10111</t>
  </si>
  <si>
    <t>CUS-4111</t>
  </si>
  <si>
    <t>SFL-10112</t>
  </si>
  <si>
    <t>CUS-4112</t>
  </si>
  <si>
    <t>SFL-10113</t>
  </si>
  <si>
    <t>CUS-4113</t>
  </si>
  <si>
    <t>SFL-10114</t>
  </si>
  <si>
    <t>CUS-4114</t>
  </si>
  <si>
    <t>SFL-10115</t>
  </si>
  <si>
    <t>CUS-4115</t>
  </si>
  <si>
    <t>SFL-10116</t>
  </si>
  <si>
    <t>CUS-4116</t>
  </si>
  <si>
    <t>SFL-10117</t>
  </si>
  <si>
    <t>CUS-4117</t>
  </si>
  <si>
    <t>SFL-10118</t>
  </si>
  <si>
    <t>CUS-4118</t>
  </si>
  <si>
    <t>SFL-10119</t>
  </si>
  <si>
    <t>CUS-4119</t>
  </si>
  <si>
    <t>SFL-10120</t>
  </si>
  <si>
    <t>CUS-4120</t>
  </si>
  <si>
    <t>SFL-10121</t>
  </si>
  <si>
    <t>CUS-4121</t>
  </si>
  <si>
    <t>SFL-10122</t>
  </si>
  <si>
    <t>CUS-4122</t>
  </si>
  <si>
    <t>SFL-10123</t>
  </si>
  <si>
    <t>CUS-4123</t>
  </si>
  <si>
    <t>SFL-10124</t>
  </si>
  <si>
    <t>CUS-4124</t>
  </si>
  <si>
    <t>SFL-10125</t>
  </si>
  <si>
    <t>CUS-4125</t>
  </si>
  <si>
    <t>SFL-10126</t>
  </si>
  <si>
    <t>CUS-4126</t>
  </si>
  <si>
    <t>SFL-10127</t>
  </si>
  <si>
    <t>CUS-4127</t>
  </si>
  <si>
    <t>SFL-10128</t>
  </si>
  <si>
    <t>CUS-4128</t>
  </si>
  <si>
    <t>SFL-10129</t>
  </si>
  <si>
    <t>CUS-4129</t>
  </si>
  <si>
    <t>SFL-10130</t>
  </si>
  <si>
    <t>CUS-4130</t>
  </si>
  <si>
    <t>SFL-10131</t>
  </si>
  <si>
    <t>CUS-4131</t>
  </si>
  <si>
    <t>SFL-10132</t>
  </si>
  <si>
    <t>CUS-4132</t>
  </si>
  <si>
    <t>SFL-10133</t>
  </si>
  <si>
    <t>CUS-4133</t>
  </si>
  <si>
    <t>SFL-10134</t>
  </si>
  <si>
    <t>CUS-4134</t>
  </si>
  <si>
    <t>SFL-10135</t>
  </si>
  <si>
    <t>CUS-4135</t>
  </si>
  <si>
    <t>SFL-10136</t>
  </si>
  <si>
    <t>CUS-4136</t>
  </si>
  <si>
    <t>SFL-10137</t>
  </si>
  <si>
    <t>CUS-4137</t>
  </si>
  <si>
    <t>SFL-10138</t>
  </si>
  <si>
    <t>CUS-4138</t>
  </si>
  <si>
    <t>SFL-10139</t>
  </si>
  <si>
    <t>CUS-4139</t>
  </si>
  <si>
    <t>SFL-10140</t>
  </si>
  <si>
    <t>CUS-4140</t>
  </si>
  <si>
    <t>SFL-10141</t>
  </si>
  <si>
    <t>CUS-4141</t>
  </si>
  <si>
    <t>SFL-10142</t>
  </si>
  <si>
    <t>CUS-4142</t>
  </si>
  <si>
    <t>SFL-10143</t>
  </si>
  <si>
    <t>CUS-4143</t>
  </si>
  <si>
    <t>SFL-10144</t>
  </si>
  <si>
    <t>CUS-4144</t>
  </si>
  <si>
    <t>SFL-10145</t>
  </si>
  <si>
    <t>CUS-4145</t>
  </si>
  <si>
    <t>SFL-10146</t>
  </si>
  <si>
    <t>CUS-4146</t>
  </si>
  <si>
    <t>SFL-10147</t>
  </si>
  <si>
    <t>CUS-4147</t>
  </si>
  <si>
    <t>SFL-10148</t>
  </si>
  <si>
    <t>CUS-4148</t>
  </si>
  <si>
    <t>SFL-10149</t>
  </si>
  <si>
    <t>CUS-4149</t>
  </si>
  <si>
    <t>SFL-10150</t>
  </si>
  <si>
    <t>CUS-4150</t>
  </si>
  <si>
    <t>SFL-10151</t>
  </si>
  <si>
    <t>CUS-4151</t>
  </si>
  <si>
    <t>SFL-10152</t>
  </si>
  <si>
    <t>CUS-4152</t>
  </si>
  <si>
    <t>SFL-10153</t>
  </si>
  <si>
    <t>CUS-4153</t>
  </si>
  <si>
    <t>SFL-10154</t>
  </si>
  <si>
    <t>CUS-4154</t>
  </si>
  <si>
    <t>SFL-10155</t>
  </si>
  <si>
    <t>CUS-4155</t>
  </si>
  <si>
    <t>SFL-10156</t>
  </si>
  <si>
    <t>CUS-4156</t>
  </si>
  <si>
    <t>SFL-10157</t>
  </si>
  <si>
    <t>CUS-4157</t>
  </si>
  <si>
    <t>SFL-10158</t>
  </si>
  <si>
    <t>CUS-4158</t>
  </si>
  <si>
    <t>SFL-10159</t>
  </si>
  <si>
    <t>CUS-4159</t>
  </si>
  <si>
    <t>SFL-10160</t>
  </si>
  <si>
    <t>CUS-4160</t>
  </si>
  <si>
    <t>SFL-10161</t>
  </si>
  <si>
    <t>CUS-4161</t>
  </si>
  <si>
    <t>SFL-10162</t>
  </si>
  <si>
    <t>CUS-4162</t>
  </si>
  <si>
    <t>SFL-10163</t>
  </si>
  <si>
    <t>CUS-4163</t>
  </si>
  <si>
    <t>SFL-10164</t>
  </si>
  <si>
    <t>CUS-4164</t>
  </si>
  <si>
    <t>SFL-10165</t>
  </si>
  <si>
    <t>CUS-4165</t>
  </si>
  <si>
    <t>SFL-10166</t>
  </si>
  <si>
    <t>CUS-4166</t>
  </si>
  <si>
    <t>SFL-10167</t>
  </si>
  <si>
    <t>CUS-4167</t>
  </si>
  <si>
    <t>SFL-10168</t>
  </si>
  <si>
    <t>CUS-4168</t>
  </si>
  <si>
    <t>SFL-10169</t>
  </si>
  <si>
    <t>CUS-4169</t>
  </si>
  <si>
    <t>SFL-10170</t>
  </si>
  <si>
    <t>CUS-4170</t>
  </si>
  <si>
    <t>SFL-10171</t>
  </si>
  <si>
    <t>CUS-4171</t>
  </si>
  <si>
    <t>SFL-10172</t>
  </si>
  <si>
    <t>CUS-4172</t>
  </si>
  <si>
    <t>SFL-10173</t>
  </si>
  <si>
    <t>CUS-4173</t>
  </si>
  <si>
    <t>SFL-10174</t>
  </si>
  <si>
    <t>CUS-4174</t>
  </si>
  <si>
    <t>SFL-10175</t>
  </si>
  <si>
    <t>CUS-4175</t>
  </si>
  <si>
    <t>SFL-10176</t>
  </si>
  <si>
    <t>CUS-4176</t>
  </si>
  <si>
    <t>SFL-10177</t>
  </si>
  <si>
    <t>CUS-4177</t>
  </si>
  <si>
    <t>SFL-10178</t>
  </si>
  <si>
    <t>CUS-4178</t>
  </si>
  <si>
    <t>SFL-10179</t>
  </si>
  <si>
    <t>CUS-4179</t>
  </si>
  <si>
    <t>SFL-10180</t>
  </si>
  <si>
    <t>CUS-4180</t>
  </si>
  <si>
    <t>SFL-10181</t>
  </si>
  <si>
    <t>CUS-4181</t>
  </si>
  <si>
    <t>SFL-10182</t>
  </si>
  <si>
    <t>CUS-4182</t>
  </si>
  <si>
    <t>SFL-10183</t>
  </si>
  <si>
    <t>CUS-4183</t>
  </si>
  <si>
    <t>SFL-10184</t>
  </si>
  <si>
    <t>CUS-4184</t>
  </si>
  <si>
    <t>SFL-10185</t>
  </si>
  <si>
    <t>CUS-4185</t>
  </si>
  <si>
    <t>SFL-10186</t>
  </si>
  <si>
    <t>CUS-4186</t>
  </si>
  <si>
    <t>SFL-10187</t>
  </si>
  <si>
    <t>CUS-4187</t>
  </si>
  <si>
    <t>SFL-10188</t>
  </si>
  <si>
    <t>CUS-4188</t>
  </si>
  <si>
    <t>SFL-10189</t>
  </si>
  <si>
    <t>CUS-4189</t>
  </si>
  <si>
    <t>SFL-10190</t>
  </si>
  <si>
    <t>CUS-4190</t>
  </si>
  <si>
    <t>SFL-10191</t>
  </si>
  <si>
    <t>CUS-4191</t>
  </si>
  <si>
    <t>SFL-10192</t>
  </si>
  <si>
    <t>CUS-4192</t>
  </si>
  <si>
    <t>SFL-10193</t>
  </si>
  <si>
    <t>CUS-4193</t>
  </si>
  <si>
    <t>SFL-10194</t>
  </si>
  <si>
    <t>CUS-4194</t>
  </si>
  <si>
    <t>SFL-10195</t>
  </si>
  <si>
    <t>CUS-4195</t>
  </si>
  <si>
    <t>SFL-10196</t>
  </si>
  <si>
    <t>CUS-4196</t>
  </si>
  <si>
    <t>SFL-10197</t>
  </si>
  <si>
    <t>CUS-4197</t>
  </si>
  <si>
    <t>SFL-10198</t>
  </si>
  <si>
    <t>CUS-4198</t>
  </si>
  <si>
    <t>SFL-10199</t>
  </si>
  <si>
    <t>CUS-4199</t>
  </si>
  <si>
    <t>SFL-10200</t>
  </si>
  <si>
    <t>CUS-4200</t>
  </si>
  <si>
    <t>Dashboard Project — Suvidha Finance Ltd. (NBFC Loan Portfolio)</t>
  </si>
  <si>
    <t>Company</t>
  </si>
  <si>
    <t>Suvidha Finance Ltd. is a Non-Banking Financial Company (NBFC) that gives out retail loans — Personal Loan, Business Loan, Gold Loan, Vehicle Loan, and Home Improvement Loan — through 8 branches spread across 4 regions (North, South, East, West).</t>
  </si>
  <si>
    <t>The Business Problem</t>
  </si>
  <si>
    <t>Every month, each branch manager emails a Word/PDF summary of their loans to the Regional Credit Head and the CFO. Because every branch formats its summary differently and nothing is centralised, leadership currently cannot quickly see:</t>
  </si>
  <si>
    <t xml:space="preserve">  - whether new loans are being disbursed faster than the company is able to collect on older ones</t>
  </si>
  <si>
    <t xml:space="preserve">  - which branches, regions, or loan products are quietly building up bad loans (NPAs)</t>
  </si>
  <si>
    <t xml:space="preserve">  - whether particular customer segments are riskier than others</t>
  </si>
  <si>
    <t xml:space="preserve">  - how many loans are sitting in the early-warning 'Overdue' zone before they slip into NPA</t>
  </si>
  <si>
    <t>What is being asked for</t>
  </si>
  <si>
    <t>A single-page Excel dashboard, built from ONE flat data export (the LoanData sheet in this workbook), that a Regional Credit Head can open at every month-end and get all five answers above at a glance — using PivotTables and PivotCharts/slicers, no manual copy-pasting.</t>
  </si>
  <si>
    <t>Report date for this dataset</t>
  </si>
  <si>
    <t>All 'as of' figures (MonthsElapsed, DPD, OutstandingPrincipal, LoanStatus) are calculated as of 31-Jul-2024. Loans in this dataset were disbursed between Jan-2024 and Jun-2024.</t>
  </si>
  <si>
    <t>Key terms you'll need</t>
  </si>
  <si>
    <t xml:space="preserve">  NPA (Non-Performing Asset): a loan where the customer has missed payments for more than 90 days (DPD &gt; 90). This is the standard definition used by Indian NBFCs/banks. NPAs are 'bad loans' — money the company may never fully recover.</t>
  </si>
  <si>
    <t xml:space="preserve">  DPD (Days Past Due): how many days overdue the customer's last missed EMI is. DPD = 0 means fully up to date.</t>
  </si>
  <si>
    <t xml:space="preserve">  Collection Efficiency: AmountCollectedTillDate as a % of what should have been collected by now — a low number means the branch is struggling to recover money it has already lent out.</t>
  </si>
  <si>
    <t>The 5 business questions the dashboard must answer</t>
  </si>
  <si>
    <t xml:space="preserve">  1. Are we disbursing faster than we're collecting, and is that trend improving or worsening month over month?</t>
  </si>
  <si>
    <t xml:space="preserve">  2. Which branches/regions/products have an NPA% that's dangerously high?</t>
  </si>
  <si>
    <t xml:space="preserve">  3. Is any customer segment (employment type, age band) disproportionately risky?</t>
  </si>
  <si>
    <t xml:space="preserve">  4. Which branches/products generate the most interest income — i.e. where does the profit actually come from?</t>
  </si>
  <si>
    <t xml:space="preserve">  5. How many loans are sitting in the 'Overdue' early-warning zone, and where are they concentrated?</t>
  </si>
  <si>
    <t>Field</t>
  </si>
  <si>
    <t>What it means</t>
  </si>
  <si>
    <t>Example</t>
  </si>
  <si>
    <t>Unique ID for each loan account.</t>
  </si>
  <si>
    <t>The branch that originated (sold) the loan.</t>
  </si>
  <si>
    <t>The region the branch belongs to. One of North / South / East / West.</t>
  </si>
  <si>
    <t>The type of loan product.</t>
  </si>
  <si>
    <t>Unique ID for the borrowing customer.</t>
  </si>
  <si>
    <t>CUS-4521</t>
  </si>
  <si>
    <t>The customer's employment category, used to study risk by segment.</t>
  </si>
  <si>
    <t>Customer's age in years at disbursement.</t>
  </si>
  <si>
    <t>34</t>
  </si>
  <si>
    <t>The date the loan amount was paid out to the customer.</t>
  </si>
  <si>
    <t>15-Mar-2024</t>
  </si>
  <si>
    <t>The original principal amount disbursed (lent out).</t>
  </si>
  <si>
    <t>350000</t>
  </si>
  <si>
    <t>Total number of months the customer has to repay the loan.</t>
  </si>
  <si>
    <t>36</t>
  </si>
  <si>
    <t>Annual interest rate charged on the loan, in %.</t>
  </si>
  <si>
    <t>14.5</t>
  </si>
  <si>
    <t>The fixed monthly instalment (Equal Monthly Instalment) the customer is supposed to pay, calculated from LoanAmount, InterestRate and TenureMonths.</t>
  </si>
  <si>
    <t>12045</t>
  </si>
  <si>
    <t>How many months have passed between DisbursementDate and the report date (31-Jul-2024), capped at TenureMonths.</t>
  </si>
  <si>
    <t>5</t>
  </si>
  <si>
    <t>How many of those EMIs the customer has actually paid on schedule so far.</t>
  </si>
  <si>
    <t>4</t>
  </si>
  <si>
    <t>Total amount actually recovered from the customer so far (InstallmentsPaid x EMIAmount).</t>
  </si>
  <si>
    <t>48180</t>
  </si>
  <si>
    <t>Principal still owed by the customer, calculated using standard loan amortisation math (not just LoanAmount minus cash collected, since part of every EMI is interest).</t>
  </si>
  <si>
    <t>312400</t>
  </si>
  <si>
    <t>Days Past Due — how many days overdue the customer's oldest unpaid instalment is. 0 = fully up to date.</t>
  </si>
  <si>
    <t>45</t>
  </si>
  <si>
    <t>Active (DPD = 0), Overdue (1-90 DPD, early warning), or NPA (DPD &gt; 90, bad loan).</t>
  </si>
  <si>
    <t>The portion of AmountCollectedTillDate that is interest (i.e. the company's actual profit from this loan so far, not the capital it lent out).</t>
  </si>
  <si>
    <t>9850</t>
  </si>
  <si>
    <t xml:space="preserve">  - which branches/products actually generate the most interest income.                                                                                                                                                             i.e. where the real profit is coming from — high disbursement does not automatically mean high profit)</t>
  </si>
  <si>
    <t>Dashboard Build Questions</t>
  </si>
  <si>
    <t>A. Disbursement vs. Collection Health</t>
  </si>
  <si>
    <t>#</t>
  </si>
  <si>
    <t>Question (answers a business question)</t>
  </si>
  <si>
    <t>Build this as...</t>
  </si>
  <si>
    <t>Your Answer / Notes</t>
  </si>
  <si>
    <t>Compare total LoanAmount disbursed to total AmountCollectedTillDate for each month.</t>
  </si>
  <si>
    <t>Is the gap between disbursement and collection widening or narrowing month over month?</t>
  </si>
  <si>
    <t>What % of total disbursed principal remains outstanding right now, overall and by region?</t>
  </si>
  <si>
    <t>B. Branch / Region / Product Risk (NPA%)</t>
  </si>
  <si>
    <t>What is the NPA% (NPA loans as a % of total loans) for each branch?</t>
  </si>
  <si>
    <t>Which region has the highest NPA% by outstanding value, not just by loan count?</t>
  </si>
  <si>
    <t>Which loan product carries the most NPA risk?</t>
  </si>
  <si>
    <t>Rank all 8 branches from healthiest to riskiest, using NPA% as the ranking measure.</t>
  </si>
  <si>
    <t>C. Customer Segment Risk</t>
  </si>
  <si>
    <t>Does EmploymentType affect default risk? Compare NPA% across Salaried, Self-Employed, and Business Owner.</t>
  </si>
  <si>
    <t>Group customers into age bands (e.g. &lt;30, 30-40, 40-50, 50+) and compare NPA% across bands.</t>
  </si>
  <si>
    <t>Within the riskiest EmploymentType found above, which LoanProduct is most commonly involved in NPAs?</t>
  </si>
  <si>
    <t>D. Profitability (Interest Income)</t>
  </si>
  <si>
    <t>Which branch has earned the most InterestIncomeEarned so far?</t>
  </si>
  <si>
    <t>Which LoanProduct is the most profitable per rupee lent (InterestIncomeEarned as a % of LoanAmount)?</t>
  </si>
  <si>
    <t>Is the branch with the HIGHEST disbursement also the branch with the highest interest income? What does a mismatch tell you?</t>
  </si>
  <si>
    <t>E. Early-Warning (DPD / Overdue Monitoring)</t>
  </si>
  <si>
    <t>How many loans are currently in the 'Overdue' zone (1-90 DPD) and what total OutstandingPrincipal do they represent?</t>
  </si>
  <si>
    <t>Which branch has the most loans sitting in the Overdue zone (i.e. at risk of becoming NPA next)?</t>
  </si>
  <si>
    <t>Build a single dashboard view combining Region, LoanProduct, and LoanStatus with a slicer, so a manager can filter to any one region/product and instantly see the loan-status split.</t>
  </si>
  <si>
    <t>Row Labels</t>
  </si>
  <si>
    <t>Grand Total</t>
  </si>
  <si>
    <t>Mar</t>
  </si>
  <si>
    <t>Sum of AmountCollectedTillDate</t>
  </si>
  <si>
    <t>Sum of LoanAmount</t>
  </si>
  <si>
    <t>Column Labels</t>
  </si>
  <si>
    <t xml:space="preserve"> total LoanAmount disbursed to total AmountCollectedTillDate for each month.</t>
  </si>
  <si>
    <t>% of total disbursed principal by region</t>
  </si>
  <si>
    <t>Sum of OutstandingPrincipal</t>
  </si>
  <si>
    <t>Sum of outst%</t>
  </si>
  <si>
    <t>NPA% each branch</t>
  </si>
  <si>
    <t>Count of LoanID</t>
  </si>
  <si>
    <t>NPA% each region</t>
  </si>
  <si>
    <t>NPA% each product</t>
  </si>
  <si>
    <t>usin inser field n calculate field</t>
  </si>
  <si>
    <t>NPA COPARE TO employment type</t>
  </si>
  <si>
    <t>age catogory</t>
  </si>
  <si>
    <t>NPA COPARE TO age catogory</t>
  </si>
  <si>
    <t>&lt;30</t>
  </si>
  <si>
    <t>30-40</t>
  </si>
  <si>
    <t>40-50</t>
  </si>
  <si>
    <t>50+</t>
  </si>
  <si>
    <t>profitability</t>
  </si>
  <si>
    <t>Sum of InterestIncomeEarned</t>
  </si>
  <si>
    <t>profitability (more profitable)</t>
  </si>
  <si>
    <t>Sum of %prof</t>
  </si>
  <si>
    <t>same branch or not</t>
  </si>
  <si>
    <t>usin inser field n calculate field.(interestIncomeEarned / LoanAmount)</t>
  </si>
  <si>
    <t>overdue monitoring</t>
  </si>
  <si>
    <t>overdue monitoring branch</t>
  </si>
  <si>
    <t>TOTAL LOANS</t>
  </si>
  <si>
    <t>OUTSTANDING BALANCE</t>
  </si>
  <si>
    <t>TOTAL AMOUNT</t>
  </si>
  <si>
    <t>TOTAL OVERDUE</t>
  </si>
  <si>
    <t>DPD BY  OUTSTANDING PRINCIPLE</t>
  </si>
  <si>
    <t>DO GROUPING</t>
  </si>
  <si>
    <t>&lt;1</t>
  </si>
  <si>
    <t>1-90</t>
  </si>
  <si>
    <t>&gt;91</t>
  </si>
  <si>
    <t>INCOME BY BRANCH</t>
  </si>
  <si>
    <t>INCOME BY PRODUCT</t>
  </si>
  <si>
    <t>Jan</t>
  </si>
  <si>
    <t>Feb</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</si>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</sst>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0.0"/>
    <numFmt numFmtId="166" formatCode="0.0%"/>
  </numFmts>
  <fonts count="13" x14ac:knownFonts="1">
    <font>
      <sz val="11"/>
      <color theme="1"/>
      <name val="Calibri"/>
      <family val="2"/>
      <scheme val="minor"/>
    </font>
    <font>
      <b/>
      <sz val="10"/>
      <color rgb="FFFFFFFF"/>
      <name val="Arial"/>
      <family val="2"/>
    </font>
    <font>
      <sz val="10"/>
      <name val="Arial"/>
      <family val="2"/>
    </font>
    <font>
      <b/>
      <sz val="10"/>
      <name val="Arial"/>
      <family val="2"/>
    </font>
    <font>
      <sz val="10"/>
      <color theme="1"/>
      <name val="Arial"/>
      <family val="2"/>
    </font>
    <font>
      <b/>
      <sz val="10"/>
      <color theme="1"/>
      <name val="Arial"/>
      <family val="2"/>
    </font>
    <font>
      <sz val="22"/>
      <color theme="0"/>
      <name val="Aptos Narrow"/>
      <family val="2"/>
    </font>
    <font>
      <b/>
      <sz val="16"/>
      <color rgb="FFFFFFFF"/>
      <name val="Arial"/>
      <family val="2"/>
    </font>
    <font>
      <b/>
      <sz val="12"/>
      <color rgb="FFFFFFFF"/>
      <name val="Arial"/>
      <family val="2"/>
    </font>
    <font>
      <i/>
      <sz val="9"/>
      <color rgb="FF1F7A54"/>
      <name val="Arial"/>
      <family val="2"/>
    </font>
    <font>
      <sz val="11"/>
      <color theme="1"/>
      <name val="Calibri"/>
      <family val="2"/>
      <scheme val="minor"/>
    </font>
    <font>
      <sz val="11"/>
      <color rgb="FFFF0000"/>
      <name val="Calibri"/>
      <family val="2"/>
      <scheme val="minor"/>
    </font>
    <font>
      <b/>
      <sz val="11"/>
      <color theme="1"/>
      <name val="Calibri"/>
      <family val="2"/>
      <scheme val="minor"/>
    </font>
  </fonts>
  <fills count="19">
    <fill>
      <patternFill patternType="none"/>
    </fill>
    <fill>
      <patternFill patternType="gray125"/>
    </fill>
    <fill>
      <patternFill patternType="solid">
        <fgColor rgb="FF2E9E6B"/>
        <bgColor rgb="FF1F7A54"/>
      </patternFill>
    </fill>
    <fill>
      <patternFill patternType="solid">
        <fgColor rgb="FFDCEFE4"/>
        <bgColor rgb="FFCCFFFF"/>
      </patternFill>
    </fill>
    <fill>
      <patternFill patternType="solid">
        <fgColor theme="1" tint="0.14999847407452621"/>
        <bgColor indexed="64"/>
      </patternFill>
    </fill>
    <fill>
      <patternFill patternType="solid">
        <fgColor theme="2" tint="-9.9978637043366805E-2"/>
        <bgColor indexed="64"/>
      </patternFill>
    </fill>
    <fill>
      <patternFill patternType="solid">
        <fgColor rgb="FF0B3D2E"/>
        <bgColor rgb="FF003366"/>
      </patternFill>
    </fill>
    <fill>
      <patternFill patternType="solid">
        <fgColor rgb="FF1F7A54"/>
        <bgColor rgb="FF008080"/>
      </patternFill>
    </fill>
    <fill>
      <patternFill patternType="solid">
        <fgColor rgb="FFFFF2CC"/>
        <bgColor rgb="FFFFFFFF"/>
      </patternFill>
    </fill>
    <fill>
      <patternFill patternType="solid">
        <fgColor rgb="FFFFFF00"/>
        <bgColor indexed="64"/>
      </patternFill>
    </fill>
    <fill>
      <patternFill patternType="solid">
        <fgColor theme="5"/>
        <bgColor indexed="64"/>
      </patternFill>
    </fill>
    <fill>
      <patternFill patternType="solid">
        <fgColor rgb="FF00B0F0"/>
        <bgColor indexed="64"/>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4" tint="0.39997558519241921"/>
      </bottom>
      <diagonal/>
    </border>
  </borders>
  <cellStyleXfs count="2">
    <xf numFmtId="0" fontId="0" fillId="0" borderId="0"/>
    <xf numFmtId="9" fontId="10" fillId="0" borderId="0" applyFont="0" applyFill="0" applyBorder="0" applyAlignment="0" applyProtection="0"/>
  </cellStyleXfs>
  <cellXfs count="57">
    <xf numFmtId="0" fontId="0" fillId="0" borderId="0" xfId="0"/>
    <xf numFmtId="0" fontId="1" fillId="2" borderId="1" xfId="0" applyFont="1" applyFill="1" applyBorder="1" applyAlignment="1">
      <alignment vertical="center" wrapText="1"/>
    </xf>
    <xf numFmtId="0" fontId="2" fillId="3" borderId="1" xfId="0" applyFont="1" applyFill="1" applyBorder="1"/>
    <xf numFmtId="164" fontId="2" fillId="3" borderId="1" xfId="0" applyNumberFormat="1" applyFont="1" applyFill="1" applyBorder="1"/>
    <xf numFmtId="3" fontId="2" fillId="3" borderId="1" xfId="0" applyNumberFormat="1" applyFont="1" applyFill="1" applyBorder="1"/>
    <xf numFmtId="165" fontId="2" fillId="3" borderId="1" xfId="0" applyNumberFormat="1" applyFont="1" applyFill="1" applyBorder="1"/>
    <xf numFmtId="0" fontId="2" fillId="0" borderId="1" xfId="0" applyFont="1" applyBorder="1"/>
    <xf numFmtId="164" fontId="2" fillId="0" borderId="1" xfId="0" applyNumberFormat="1" applyFont="1" applyBorder="1"/>
    <xf numFmtId="3" fontId="2" fillId="0" borderId="1" xfId="0" applyNumberFormat="1" applyFont="1" applyBorder="1"/>
    <xf numFmtId="165" fontId="2" fillId="0" borderId="1" xfId="0" applyNumberFormat="1" applyFont="1" applyBorder="1"/>
    <xf numFmtId="0" fontId="1" fillId="2" borderId="1" xfId="0" applyFont="1" applyFill="1" applyBorder="1" applyAlignment="1">
      <alignment vertical="center"/>
    </xf>
    <xf numFmtId="0" fontId="3" fillId="3" borderId="1" xfId="0" applyFont="1" applyFill="1" applyBorder="1"/>
    <xf numFmtId="0" fontId="2" fillId="3" borderId="1" xfId="0" applyFont="1" applyFill="1" applyBorder="1" applyAlignment="1">
      <alignment vertical="top" wrapText="1"/>
    </xf>
    <xf numFmtId="0" fontId="3" fillId="0" borderId="1" xfId="0" applyFont="1" applyBorder="1"/>
    <xf numFmtId="0" fontId="2" fillId="0" borderId="1" xfId="0" applyFont="1" applyBorder="1" applyAlignment="1">
      <alignment vertical="top" wrapText="1"/>
    </xf>
    <xf numFmtId="0" fontId="4" fillId="0" borderId="0" xfId="0" applyFont="1"/>
    <xf numFmtId="0" fontId="4" fillId="0" borderId="2" xfId="0" applyFont="1" applyBorder="1" applyAlignment="1">
      <alignment wrapText="1"/>
    </xf>
    <xf numFmtId="0" fontId="5" fillId="0" borderId="3" xfId="0" applyFont="1" applyBorder="1" applyAlignment="1">
      <alignment wrapText="1"/>
    </xf>
    <xf numFmtId="0" fontId="4" fillId="0" borderId="3" xfId="0" applyFont="1" applyBorder="1" applyAlignment="1">
      <alignment wrapText="1"/>
    </xf>
    <xf numFmtId="0" fontId="5" fillId="5" borderId="3" xfId="0" applyFont="1" applyFill="1" applyBorder="1" applyAlignment="1">
      <alignment wrapText="1"/>
    </xf>
    <xf numFmtId="0" fontId="4" fillId="0" borderId="4" xfId="0" applyFont="1" applyBorder="1" applyAlignment="1">
      <alignment wrapText="1"/>
    </xf>
    <xf numFmtId="0" fontId="4" fillId="0" borderId="0" xfId="0" applyFont="1" applyAlignment="1">
      <alignment wrapText="1"/>
    </xf>
    <xf numFmtId="0" fontId="6" fillId="4" borderId="0" xfId="0" applyFont="1" applyFill="1" applyAlignment="1">
      <alignment wrapText="1"/>
    </xf>
    <xf numFmtId="0" fontId="3" fillId="0" borderId="1" xfId="0" applyFont="1" applyBorder="1" applyAlignment="1">
      <alignment vertical="center" wrapText="1"/>
    </xf>
    <xf numFmtId="0" fontId="9" fillId="0" borderId="1" xfId="0" applyFont="1" applyBorder="1" applyAlignment="1">
      <alignment vertical="top" wrapText="1"/>
    </xf>
    <xf numFmtId="0" fontId="0" fillId="8" borderId="1" xfId="0" applyFill="1" applyBorder="1"/>
    <xf numFmtId="0" fontId="0" fillId="0" borderId="0" xfId="0" pivotButton="1"/>
    <xf numFmtId="0" fontId="0" fillId="0" borderId="0" xfId="0" applyAlignment="1">
      <alignment horizontal="left"/>
    </xf>
    <xf numFmtId="0" fontId="0" fillId="9" borderId="0" xfId="0" applyFill="1"/>
    <xf numFmtId="0" fontId="0" fillId="9" borderId="0" xfId="0" applyFill="1" applyAlignment="1">
      <alignment horizontal="left"/>
    </xf>
    <xf numFmtId="9" fontId="0" fillId="0" borderId="0" xfId="0" applyNumberFormat="1"/>
    <xf numFmtId="10" fontId="0" fillId="0" borderId="0" xfId="0" applyNumberFormat="1"/>
    <xf numFmtId="166" fontId="0" fillId="0" borderId="0" xfId="0" applyNumberFormat="1"/>
    <xf numFmtId="0" fontId="0" fillId="10" borderId="0" xfId="0" applyFill="1" applyAlignment="1">
      <alignment horizontal="left"/>
    </xf>
    <xf numFmtId="166" fontId="0" fillId="0" borderId="0" xfId="1" applyNumberFormat="1" applyFont="1"/>
    <xf numFmtId="0" fontId="11" fillId="0" borderId="0" xfId="0" applyFont="1"/>
    <xf numFmtId="0" fontId="0" fillId="11" borderId="0" xfId="0" applyFill="1" applyAlignment="1">
      <alignment horizontal="left"/>
    </xf>
    <xf numFmtId="166" fontId="0" fillId="11" borderId="0" xfId="0" applyNumberFormat="1" applyFill="1"/>
    <xf numFmtId="9" fontId="0" fillId="0" borderId="0" xfId="1" applyFont="1"/>
    <xf numFmtId="0" fontId="0" fillId="12" borderId="0" xfId="0" applyFill="1"/>
    <xf numFmtId="0" fontId="0" fillId="12" borderId="0" xfId="0" applyFill="1" applyAlignment="1">
      <alignment horizontal="center"/>
    </xf>
    <xf numFmtId="0" fontId="0" fillId="12" borderId="0" xfId="0" applyFill="1" applyAlignment="1">
      <alignment horizontal="center" vertical="center"/>
    </xf>
    <xf numFmtId="10" fontId="0" fillId="0" borderId="0" xfId="1" applyNumberFormat="1" applyFont="1"/>
    <xf numFmtId="0" fontId="12" fillId="13" borderId="5" xfId="0" applyFont="1" applyFill="1" applyBorder="1"/>
    <xf numFmtId="165" fontId="0" fillId="0" borderId="0" xfId="0" applyNumberFormat="1"/>
    <xf numFmtId="0" fontId="0" fillId="16" borderId="0" xfId="0" applyFill="1" applyAlignment="1">
      <alignment horizontal="left"/>
    </xf>
    <xf numFmtId="0" fontId="0" fillId="17" borderId="0" xfId="0" applyFill="1" applyAlignment="1">
      <alignment horizontal="left"/>
    </xf>
    <xf numFmtId="10" fontId="0" fillId="17" borderId="0" xfId="0" applyNumberFormat="1" applyFill="1"/>
    <xf numFmtId="0" fontId="0" fillId="18" borderId="0" xfId="0" applyFill="1"/>
    <xf numFmtId="0" fontId="8" fillId="7" borderId="0" xfId="0" applyFont="1" applyFill="1" applyAlignment="1">
      <alignment vertical="center" indent="1"/>
    </xf>
    <xf numFmtId="0" fontId="7" fillId="6" borderId="0" xfId="0" applyFont="1" applyFill="1" applyAlignment="1">
      <alignment vertical="center" indent="1"/>
    </xf>
    <xf numFmtId="0" fontId="0" fillId="0" borderId="0" xfId="0" applyNumberFormat="1"/>
    <xf numFmtId="0" fontId="0" fillId="16" borderId="0" xfId="0" applyNumberFormat="1" applyFill="1"/>
    <xf numFmtId="0" fontId="0" fillId="14" borderId="0" xfId="0" applyNumberFormat="1" applyFill="1"/>
    <xf numFmtId="0" fontId="0" fillId="15" borderId="0" xfId="0" applyNumberFormat="1" applyFill="1"/>
    <xf numFmtId="0" fontId="0" fillId="10" borderId="0" xfId="0" applyNumberFormat="1" applyFill="1"/>
    <xf numFmtId="0" fontId="0" fillId="17" borderId="0" xfId="0" applyNumberFormat="1" applyFill="1"/>
  </cellXfs>
  <cellStyles count="2">
    <cellStyle name="Normal" xfId="0" builtinId="0"/>
    <cellStyle name="Percent" xfId="1" builtinId="5"/>
  </cellStyles>
  <dxfs count="24">
    <dxf>
      <fill>
        <patternFill patternType="solid">
          <bgColor rgb="FFFF0000"/>
        </patternFill>
      </fill>
    </dxf>
    <dxf>
      <numFmt numFmtId="0" formatCode="General"/>
    </dxf>
    <dxf>
      <fill>
        <patternFill patternType="solid">
          <bgColor theme="5"/>
        </patternFill>
      </fill>
    </dxf>
    <dxf>
      <fill>
        <patternFill patternType="solid">
          <bgColor theme="8" tint="0.59999389629810485"/>
        </patternFill>
      </fill>
    </dxf>
    <dxf>
      <numFmt numFmtId="0" formatCode="General"/>
    </dxf>
    <dxf>
      <fill>
        <patternFill>
          <bgColor rgb="FF00B0F0"/>
        </patternFill>
      </fill>
    </dxf>
    <dxf>
      <fill>
        <patternFill patternType="solid">
          <bgColor theme="8" tint="0.59999389629810485"/>
        </patternFill>
      </fill>
    </dxf>
    <dxf>
      <numFmt numFmtId="166" formatCode="0.0%"/>
    </dxf>
    <dxf>
      <numFmt numFmtId="13" formatCode="0%"/>
    </dxf>
    <dxf>
      <numFmt numFmtId="165" formatCode="0.0"/>
    </dxf>
    <dxf>
      <numFmt numFmtId="0" formatCode="General"/>
    </dxf>
    <dxf>
      <fill>
        <patternFill patternType="solid">
          <bgColor theme="7" tint="0.59999389629810485"/>
        </patternFill>
      </fill>
    </dxf>
    <dxf>
      <fill>
        <patternFill patternType="solid">
          <bgColor theme="5" tint="0.59999389629810485"/>
        </patternFill>
      </fill>
    </dxf>
    <dxf>
      <numFmt numFmtId="0" formatCode="General"/>
    </dxf>
    <dxf>
      <numFmt numFmtId="13" formatCode="0%"/>
    </dxf>
    <dxf>
      <numFmt numFmtId="0" formatCode="General"/>
    </dxf>
    <dxf>
      <numFmt numFmtId="0" formatCode="General"/>
    </dxf>
    <dxf>
      <numFmt numFmtId="0" formatCode="General"/>
    </dxf>
    <dxf>
      <numFmt numFmtId="0" formatCode="General"/>
    </dxf>
    <dxf>
      <numFmt numFmtId="14" formatCode="0.00%"/>
    </dxf>
    <dxf>
      <fill>
        <patternFill patternType="solid">
          <bgColor theme="8" tint="0.59999389629810485"/>
        </patternFill>
      </fill>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ill>
        <patternFill>
          <bgColor theme="4" tint="-0.24994659260841701"/>
        </patternFill>
      </fill>
    </dxf>
  </dxfs>
  <tableStyles count="2" defaultTableStyle="TableStyleMedium2" defaultPivotStyle="PivotStyleLight16">
    <tableStyle name="SlicerStyleLight6 2" pivot="0" table="0" count="10" xr9:uid="{7645B832-C72E-44B1-8EE9-6F15B6907DE6}">
      <tableStyleElement type="wholeTable" dxfId="23"/>
      <tableStyleElement type="headerRow" dxfId="22"/>
    </tableStyle>
    <tableStyle name="SlicerStyleLight6 3" pivot="0" table="0" count="9" xr9:uid="{1AAD42C9-1B63-40C8-A7DD-E8944D37BD6B}">
      <tableStyleElement type="wholeTable" dxfId="21"/>
    </tableStyle>
  </tableStyles>
  <colors>
    <mruColors>
      <color rgb="FFE6EBF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Active</c:v>
          </c:tx>
          <c:spPr>
            <a:solidFill>
              <a:schemeClr val="accent1"/>
            </a:solidFill>
            <a:ln>
              <a:noFill/>
            </a:ln>
            <a:effectLst/>
          </c:spPr>
          <c:invertIfNegative val="0"/>
          <c:cat>
            <c:strLit>
              <c:ptCount val="4"/>
              <c:pt idx="0">
                <c:v>&lt;30</c:v>
              </c:pt>
              <c:pt idx="1">
                <c:v>30-40</c:v>
              </c:pt>
              <c:pt idx="2">
                <c:v>40-50</c:v>
              </c:pt>
              <c:pt idx="3">
                <c:v>50+</c:v>
              </c:pt>
            </c:strLit>
          </c:cat>
          <c:val>
            <c:numLit>
              <c:formatCode>General</c:formatCode>
              <c:ptCount val="4"/>
              <c:pt idx="0">
                <c:v>1</c:v>
              </c:pt>
              <c:pt idx="1">
                <c:v>0.5</c:v>
              </c:pt>
              <c:pt idx="2">
                <c:v>1</c:v>
              </c:pt>
              <c:pt idx="3">
                <c:v>0.5</c:v>
              </c:pt>
            </c:numLit>
          </c:val>
          <c:extLst>
            <c:ext xmlns:c16="http://schemas.microsoft.com/office/drawing/2014/chart" uri="{C3380CC4-5D6E-409C-BE32-E72D297353CC}">
              <c16:uniqueId val="{00000000-74EA-49C7-B874-0B6F8695DB6D}"/>
            </c:ext>
          </c:extLst>
        </c:ser>
        <c:ser>
          <c:idx val="1"/>
          <c:order val="1"/>
          <c:tx>
            <c:v>NPA</c:v>
          </c:tx>
          <c:spPr>
            <a:solidFill>
              <a:schemeClr val="accent2"/>
            </a:solidFill>
            <a:ln>
              <a:noFill/>
            </a:ln>
            <a:effectLst/>
          </c:spPr>
          <c:invertIfNegative val="0"/>
          <c:cat>
            <c:strLit>
              <c:ptCount val="4"/>
              <c:pt idx="0">
                <c:v>&lt;30</c:v>
              </c:pt>
              <c:pt idx="1">
                <c:v>30-40</c:v>
              </c:pt>
              <c:pt idx="2">
                <c:v>40-50</c:v>
              </c:pt>
              <c:pt idx="3">
                <c:v>50+</c:v>
              </c:pt>
            </c:strLit>
          </c:cat>
          <c:val>
            <c:numLit>
              <c:formatCode>General</c:formatCode>
              <c:ptCount val="4"/>
              <c:pt idx="0">
                <c:v>0</c:v>
              </c:pt>
              <c:pt idx="1">
                <c:v>0.5</c:v>
              </c:pt>
              <c:pt idx="2">
                <c:v>0</c:v>
              </c:pt>
              <c:pt idx="3">
                <c:v>0</c:v>
              </c:pt>
            </c:numLit>
          </c:val>
          <c:extLst>
            <c:ext xmlns:c16="http://schemas.microsoft.com/office/drawing/2014/chart" uri="{C3380CC4-5D6E-409C-BE32-E72D297353CC}">
              <c16:uniqueId val="{00000000-FE7B-4291-B433-49A0C183865B}"/>
            </c:ext>
          </c:extLst>
        </c:ser>
        <c:ser>
          <c:idx val="2"/>
          <c:order val="2"/>
          <c:tx>
            <c:v>Overdue</c:v>
          </c:tx>
          <c:spPr>
            <a:solidFill>
              <a:schemeClr val="accent3"/>
            </a:solidFill>
            <a:ln>
              <a:noFill/>
            </a:ln>
            <a:effectLst/>
          </c:spPr>
          <c:invertIfNegative val="0"/>
          <c:cat>
            <c:strLit>
              <c:ptCount val="4"/>
              <c:pt idx="0">
                <c:v>&lt;30</c:v>
              </c:pt>
              <c:pt idx="1">
                <c:v>30-40</c:v>
              </c:pt>
              <c:pt idx="2">
                <c:v>40-50</c:v>
              </c:pt>
              <c:pt idx="3">
                <c:v>50+</c:v>
              </c:pt>
            </c:strLit>
          </c:cat>
          <c:val>
            <c:numLit>
              <c:formatCode>General</c:formatCode>
              <c:ptCount val="4"/>
              <c:pt idx="0">
                <c:v>0</c:v>
              </c:pt>
              <c:pt idx="1">
                <c:v>0</c:v>
              </c:pt>
              <c:pt idx="2">
                <c:v>0</c:v>
              </c:pt>
              <c:pt idx="3">
                <c:v>0.5</c:v>
              </c:pt>
            </c:numLit>
          </c:val>
          <c:extLst>
            <c:ext xmlns:c16="http://schemas.microsoft.com/office/drawing/2014/chart" uri="{C3380CC4-5D6E-409C-BE32-E72D297353CC}">
              <c16:uniqueId val="{00000004-FE7B-4291-B433-49A0C183865B}"/>
            </c:ext>
          </c:extLst>
        </c:ser>
        <c:dLbls>
          <c:showLegendKey val="0"/>
          <c:showVal val="0"/>
          <c:showCatName val="0"/>
          <c:showSerName val="0"/>
          <c:showPercent val="0"/>
          <c:showBubbleSize val="0"/>
        </c:dLbls>
        <c:gapWidth val="219"/>
        <c:overlap val="-27"/>
        <c:axId val="2003922848"/>
        <c:axId val="2003919008"/>
      </c:barChart>
      <c:catAx>
        <c:axId val="200392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919008"/>
        <c:crosses val="autoZero"/>
        <c:auto val="1"/>
        <c:lblAlgn val="ctr"/>
        <c:lblOffset val="100"/>
        <c:noMultiLvlLbl val="0"/>
      </c:catAx>
      <c:valAx>
        <c:axId val="200391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92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(2).xlsx]pivot tables!PivotTable8</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tables'!$B$95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9FA-4D0A-B78C-F2B2D1BB143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9FA-4D0A-B78C-F2B2D1BB143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9FA-4D0A-B78C-F2B2D1BB143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9FA-4D0A-B78C-F2B2D1BB143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9FA-4D0A-B78C-F2B2D1BB1434}"/>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9FA-4D0A-B78C-F2B2D1BB1434}"/>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09FA-4D0A-B78C-F2B2D1BB1434}"/>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09FA-4D0A-B78C-F2B2D1BB14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tables'!$A$96:$A$104</c:f>
              <c:strCache>
                <c:ptCount val="8"/>
                <c:pt idx="0">
                  <c:v>Kolkata-01</c:v>
                </c:pt>
                <c:pt idx="1">
                  <c:v>Bhubaneswar-01</c:v>
                </c:pt>
                <c:pt idx="2">
                  <c:v>Mumbai-01</c:v>
                </c:pt>
                <c:pt idx="3">
                  <c:v>Bengaluru-01</c:v>
                </c:pt>
                <c:pt idx="4">
                  <c:v>Delhi-01</c:v>
                </c:pt>
                <c:pt idx="5">
                  <c:v>Lucknow-01</c:v>
                </c:pt>
                <c:pt idx="6">
                  <c:v>Pune-01</c:v>
                </c:pt>
                <c:pt idx="7">
                  <c:v>Chennai-01</c:v>
                </c:pt>
              </c:strCache>
            </c:strRef>
          </c:cat>
          <c:val>
            <c:numRef>
              <c:f>'pivot tables'!$B$96:$B$104</c:f>
              <c:numCache>
                <c:formatCode>0.00%</c:formatCode>
                <c:ptCount val="8"/>
                <c:pt idx="0">
                  <c:v>0.1570819311080712</c:v>
                </c:pt>
                <c:pt idx="1">
                  <c:v>0.15422971398462723</c:v>
                </c:pt>
                <c:pt idx="2">
                  <c:v>0.14046411497493907</c:v>
                </c:pt>
                <c:pt idx="3">
                  <c:v>0.12043052770701584</c:v>
                </c:pt>
                <c:pt idx="4">
                  <c:v>0.11606015945960545</c:v>
                </c:pt>
                <c:pt idx="5">
                  <c:v>0.10617881169194071</c:v>
                </c:pt>
                <c:pt idx="6">
                  <c:v>0.1050787101695457</c:v>
                </c:pt>
                <c:pt idx="7">
                  <c:v>0.10047603090425479</c:v>
                </c:pt>
              </c:numCache>
            </c:numRef>
          </c:val>
          <c:extLst>
            <c:ext xmlns:c16="http://schemas.microsoft.com/office/drawing/2014/chart" uri="{C3380CC4-5D6E-409C-BE32-E72D297353CC}">
              <c16:uniqueId val="{00000000-7B8A-4C7E-BE65-2A86C02AC33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(2).xlsx]pivot tables!PivotTable9</c:name>
    <c:fmtId val="1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tables'!$B$111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84F-4FE2-B96C-0B358827ED1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84F-4FE2-B96C-0B358827ED1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84F-4FE2-B96C-0B358827ED1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84F-4FE2-B96C-0B358827ED1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84F-4FE2-B96C-0B358827ED1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tables'!$A$112:$A$117</c:f>
              <c:strCache>
                <c:ptCount val="5"/>
                <c:pt idx="0">
                  <c:v>Personal Loan</c:v>
                </c:pt>
                <c:pt idx="1">
                  <c:v>Business Loan</c:v>
                </c:pt>
                <c:pt idx="2">
                  <c:v>Home Improvement Loan</c:v>
                </c:pt>
                <c:pt idx="3">
                  <c:v>Vehicle Loan</c:v>
                </c:pt>
                <c:pt idx="4">
                  <c:v>Gold Loan</c:v>
                </c:pt>
              </c:strCache>
            </c:strRef>
          </c:cat>
          <c:val>
            <c:numRef>
              <c:f>'pivot tables'!$B$112:$B$117</c:f>
              <c:numCache>
                <c:formatCode>0.0%</c:formatCode>
                <c:ptCount val="5"/>
                <c:pt idx="0">
                  <c:v>4.2375099702704665E-2</c:v>
                </c:pt>
                <c:pt idx="1">
                  <c:v>3.7494784674171229E-2</c:v>
                </c:pt>
                <c:pt idx="2">
                  <c:v>3.2142924528301885E-2</c:v>
                </c:pt>
                <c:pt idx="3">
                  <c:v>2.6521819703491153E-2</c:v>
                </c:pt>
                <c:pt idx="4">
                  <c:v>2.480655686761964E-2</c:v>
                </c:pt>
              </c:numCache>
            </c:numRef>
          </c:val>
          <c:extLst>
            <c:ext xmlns:c16="http://schemas.microsoft.com/office/drawing/2014/chart" uri="{C3380CC4-5D6E-409C-BE32-E72D297353CC}">
              <c16:uniqueId val="{00000000-F2FE-4591-A432-C5077EBB53F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(2).xlsx]pivot tables!PivotTable10</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tables'!$B$123</c:f>
              <c:strCache>
                <c:ptCount val="1"/>
                <c:pt idx="0">
                  <c:v>Sum of LoanAmount</c:v>
                </c:pt>
              </c:strCache>
            </c:strRef>
          </c:tx>
          <c:spPr>
            <a:solidFill>
              <a:schemeClr val="accent1"/>
            </a:solidFill>
            <a:ln>
              <a:noFill/>
            </a:ln>
            <a:effectLst/>
          </c:spPr>
          <c:invertIfNegative val="0"/>
          <c:cat>
            <c:strRef>
              <c:f>'pivot tables'!$A$124:$A$132</c:f>
              <c:strCache>
                <c:ptCount val="8"/>
                <c:pt idx="0">
                  <c:v>Bhubaneswar-01</c:v>
                </c:pt>
                <c:pt idx="1">
                  <c:v>Lucknow-01</c:v>
                </c:pt>
                <c:pt idx="2">
                  <c:v>Kolkata-01</c:v>
                </c:pt>
                <c:pt idx="3">
                  <c:v>Mumbai-01</c:v>
                </c:pt>
                <c:pt idx="4">
                  <c:v>Bengaluru-01</c:v>
                </c:pt>
                <c:pt idx="5">
                  <c:v>Delhi-01</c:v>
                </c:pt>
                <c:pt idx="6">
                  <c:v>Pune-01</c:v>
                </c:pt>
                <c:pt idx="7">
                  <c:v>Chennai-01</c:v>
                </c:pt>
              </c:strCache>
            </c:strRef>
          </c:cat>
          <c:val>
            <c:numRef>
              <c:f>'pivot tables'!$B$124:$B$132</c:f>
              <c:numCache>
                <c:formatCode>General</c:formatCode>
                <c:ptCount val="8"/>
                <c:pt idx="0">
                  <c:v>16066000</c:v>
                </c:pt>
                <c:pt idx="1">
                  <c:v>15160000</c:v>
                </c:pt>
                <c:pt idx="2">
                  <c:v>14587000</c:v>
                </c:pt>
                <c:pt idx="3">
                  <c:v>14525000</c:v>
                </c:pt>
                <c:pt idx="4">
                  <c:v>13474000</c:v>
                </c:pt>
                <c:pt idx="5">
                  <c:v>12263000</c:v>
                </c:pt>
                <c:pt idx="6">
                  <c:v>11883000</c:v>
                </c:pt>
                <c:pt idx="7">
                  <c:v>11417000</c:v>
                </c:pt>
              </c:numCache>
            </c:numRef>
          </c:val>
          <c:extLst>
            <c:ext xmlns:c16="http://schemas.microsoft.com/office/drawing/2014/chart" uri="{C3380CC4-5D6E-409C-BE32-E72D297353CC}">
              <c16:uniqueId val="{00000000-AD05-499B-B3D0-5EAC63405357}"/>
            </c:ext>
          </c:extLst>
        </c:ser>
        <c:dLbls>
          <c:showLegendKey val="0"/>
          <c:showVal val="0"/>
          <c:showCatName val="0"/>
          <c:showSerName val="0"/>
          <c:showPercent val="0"/>
          <c:showBubbleSize val="0"/>
        </c:dLbls>
        <c:gapWidth val="219"/>
        <c:overlap val="100"/>
        <c:axId val="188747296"/>
        <c:axId val="188763616"/>
      </c:barChart>
      <c:lineChart>
        <c:grouping val="standard"/>
        <c:varyColors val="0"/>
        <c:ser>
          <c:idx val="1"/>
          <c:order val="1"/>
          <c:tx>
            <c:strRef>
              <c:f>'pivot tables'!$C$123</c:f>
              <c:strCache>
                <c:ptCount val="1"/>
                <c:pt idx="0">
                  <c:v>Sum of InterestIncomeEarned</c:v>
                </c:pt>
              </c:strCache>
            </c:strRef>
          </c:tx>
          <c:spPr>
            <a:ln w="28575" cap="rnd">
              <a:solidFill>
                <a:schemeClr val="accent2"/>
              </a:solidFill>
              <a:round/>
            </a:ln>
            <a:effectLst/>
          </c:spPr>
          <c:marker>
            <c:symbol val="none"/>
          </c:marker>
          <c:cat>
            <c:strRef>
              <c:f>'pivot tables'!$A$124:$A$132</c:f>
              <c:strCache>
                <c:ptCount val="8"/>
                <c:pt idx="0">
                  <c:v>Bhubaneswar-01</c:v>
                </c:pt>
                <c:pt idx="1">
                  <c:v>Lucknow-01</c:v>
                </c:pt>
                <c:pt idx="2">
                  <c:v>Kolkata-01</c:v>
                </c:pt>
                <c:pt idx="3">
                  <c:v>Mumbai-01</c:v>
                </c:pt>
                <c:pt idx="4">
                  <c:v>Bengaluru-01</c:v>
                </c:pt>
                <c:pt idx="5">
                  <c:v>Delhi-01</c:v>
                </c:pt>
                <c:pt idx="6">
                  <c:v>Pune-01</c:v>
                </c:pt>
                <c:pt idx="7">
                  <c:v>Chennai-01</c:v>
                </c:pt>
              </c:strCache>
            </c:strRef>
          </c:cat>
          <c:val>
            <c:numRef>
              <c:f>'pivot tables'!$C$124:$C$132</c:f>
              <c:numCache>
                <c:formatCode>General</c:formatCode>
                <c:ptCount val="8"/>
                <c:pt idx="0">
                  <c:v>559662</c:v>
                </c:pt>
                <c:pt idx="1">
                  <c:v>385297</c:v>
                </c:pt>
                <c:pt idx="2">
                  <c:v>570012</c:v>
                </c:pt>
                <c:pt idx="3">
                  <c:v>509710</c:v>
                </c:pt>
                <c:pt idx="4">
                  <c:v>437013</c:v>
                </c:pt>
                <c:pt idx="5">
                  <c:v>421154</c:v>
                </c:pt>
                <c:pt idx="6">
                  <c:v>381305</c:v>
                </c:pt>
                <c:pt idx="7">
                  <c:v>364603</c:v>
                </c:pt>
              </c:numCache>
            </c:numRef>
          </c:val>
          <c:smooth val="0"/>
          <c:extLst>
            <c:ext xmlns:c16="http://schemas.microsoft.com/office/drawing/2014/chart" uri="{C3380CC4-5D6E-409C-BE32-E72D297353CC}">
              <c16:uniqueId val="{00000001-AD05-499B-B3D0-5EAC63405357}"/>
            </c:ext>
          </c:extLst>
        </c:ser>
        <c:dLbls>
          <c:showLegendKey val="0"/>
          <c:showVal val="0"/>
          <c:showCatName val="0"/>
          <c:showSerName val="0"/>
          <c:showPercent val="0"/>
          <c:showBubbleSize val="0"/>
        </c:dLbls>
        <c:marker val="1"/>
        <c:smooth val="0"/>
        <c:axId val="131281792"/>
        <c:axId val="131283712"/>
      </c:lineChart>
      <c:catAx>
        <c:axId val="13128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3712"/>
        <c:crosses val="autoZero"/>
        <c:auto val="1"/>
        <c:lblAlgn val="ctr"/>
        <c:lblOffset val="100"/>
        <c:noMultiLvlLbl val="0"/>
      </c:catAx>
      <c:valAx>
        <c:axId val="13128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1792"/>
        <c:crosses val="autoZero"/>
        <c:crossBetween val="between"/>
      </c:valAx>
      <c:valAx>
        <c:axId val="1887636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47296"/>
        <c:crosses val="max"/>
        <c:crossBetween val="between"/>
      </c:valAx>
      <c:catAx>
        <c:axId val="188747296"/>
        <c:scaling>
          <c:orientation val="minMax"/>
        </c:scaling>
        <c:delete val="1"/>
        <c:axPos val="b"/>
        <c:numFmt formatCode="General" sourceLinked="1"/>
        <c:majorTickMark val="out"/>
        <c:minorTickMark val="none"/>
        <c:tickLblPos val="nextTo"/>
        <c:crossAx val="1887636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1"/>
              <a:t>NPA%</a:t>
            </a:r>
            <a:r>
              <a:rPr lang="en-IN" sz="1000" b="1" baseline="0"/>
              <a:t> BY BRANCH</a:t>
            </a:r>
            <a:endParaRPr lang="en-IN" sz="1000" b="1"/>
          </a:p>
        </c:rich>
      </c:tx>
      <c:layout>
        <c:manualLayout>
          <c:xMode val="edge"/>
          <c:yMode val="edge"/>
          <c:x val="0.37994231026512032"/>
          <c:y val="2.6117413753880585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FF0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tables'!$F$27:$F$34</c:f>
              <c:strCache>
                <c:ptCount val="8"/>
                <c:pt idx="0">
                  <c:v>Bengaluru-01</c:v>
                </c:pt>
                <c:pt idx="1">
                  <c:v>Bhubaneswar-01</c:v>
                </c:pt>
                <c:pt idx="2">
                  <c:v>Chennai-01</c:v>
                </c:pt>
                <c:pt idx="3">
                  <c:v>Delhi-01</c:v>
                </c:pt>
                <c:pt idx="4">
                  <c:v>Kolkata-01</c:v>
                </c:pt>
                <c:pt idx="5">
                  <c:v>Lucknow-01</c:v>
                </c:pt>
                <c:pt idx="6">
                  <c:v>Mumbai-01</c:v>
                </c:pt>
                <c:pt idx="7">
                  <c:v>Pune-01</c:v>
                </c:pt>
              </c:strCache>
            </c:strRef>
          </c:cat>
          <c:val>
            <c:numRef>
              <c:f>'pivot tables'!$G$27:$G$34</c:f>
              <c:numCache>
                <c:formatCode>0.0%</c:formatCode>
                <c:ptCount val="8"/>
                <c:pt idx="0">
                  <c:v>9.5238095238095233E-2</c:v>
                </c:pt>
                <c:pt idx="1">
                  <c:v>0.04</c:v>
                </c:pt>
                <c:pt idx="2">
                  <c:v>0.10714285714285714</c:v>
                </c:pt>
                <c:pt idx="3">
                  <c:v>8.3333333333333329E-2</c:v>
                </c:pt>
                <c:pt idx="4">
                  <c:v>7.407407407407407E-2</c:v>
                </c:pt>
                <c:pt idx="5">
                  <c:v>8.3333333333333329E-2</c:v>
                </c:pt>
                <c:pt idx="6">
                  <c:v>6.4516129032258063E-2</c:v>
                </c:pt>
                <c:pt idx="7">
                  <c:v>0.1</c:v>
                </c:pt>
              </c:numCache>
            </c:numRef>
          </c:val>
          <c:smooth val="0"/>
          <c:extLst>
            <c:ext xmlns:c16="http://schemas.microsoft.com/office/drawing/2014/chart" uri="{C3380CC4-5D6E-409C-BE32-E72D297353CC}">
              <c16:uniqueId val="{00000000-FC77-45C4-8EFD-1B86C2696623}"/>
            </c:ext>
          </c:extLst>
        </c:ser>
        <c:dLbls>
          <c:dLblPos val="t"/>
          <c:showLegendKey val="0"/>
          <c:showVal val="1"/>
          <c:showCatName val="0"/>
          <c:showSerName val="0"/>
          <c:showPercent val="0"/>
          <c:showBubbleSize val="0"/>
        </c:dLbls>
        <c:marker val="1"/>
        <c:smooth val="0"/>
        <c:axId val="1631547824"/>
        <c:axId val="1631552144"/>
      </c:lineChart>
      <c:catAx>
        <c:axId val="1631547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552144"/>
        <c:crosses val="autoZero"/>
        <c:auto val="1"/>
        <c:lblAlgn val="ctr"/>
        <c:lblOffset val="100"/>
        <c:noMultiLvlLbl val="0"/>
      </c:catAx>
      <c:valAx>
        <c:axId val="1631552144"/>
        <c:scaling>
          <c:orientation val="minMax"/>
        </c:scaling>
        <c:delete val="1"/>
        <c:axPos val="l"/>
        <c:numFmt formatCode="0.0%" sourceLinked="1"/>
        <c:majorTickMark val="out"/>
        <c:minorTickMark val="none"/>
        <c:tickLblPos val="nextTo"/>
        <c:crossAx val="1631547824"/>
        <c:crosses val="autoZero"/>
        <c:crossBetween val="between"/>
      </c:valAx>
      <c:spPr>
        <a:noFill/>
        <a:ln>
          <a:solidFill>
            <a:schemeClr val="accent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a:t>NPA%</a:t>
            </a:r>
            <a:r>
              <a:rPr lang="en-IN" sz="1000" b="1" baseline="0"/>
              <a:t> BY LOAN PRODUCT</a:t>
            </a:r>
            <a:endParaRPr lang="en-IN"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9367695223994437"/>
          <c:y val="0.22980173482032221"/>
          <c:w val="0.53441236512102652"/>
          <c:h val="0.62646674277239511"/>
        </c:manualLayout>
      </c:layout>
      <c:barChart>
        <c:barDir val="bar"/>
        <c:grouping val="clustered"/>
        <c:varyColors val="0"/>
        <c:ser>
          <c:idx val="0"/>
          <c:order val="0"/>
          <c:spPr>
            <a:solidFill>
              <a:schemeClr val="accent1"/>
            </a:solidFill>
            <a:ln>
              <a:noFill/>
            </a:ln>
            <a:effectLst/>
          </c:spPr>
          <c:invertIfNegative val="0"/>
          <c:dPt>
            <c:idx val="3"/>
            <c:invertIfNegative val="0"/>
            <c:bubble3D val="0"/>
            <c:spPr>
              <a:solidFill>
                <a:srgbClr val="FF0000"/>
              </a:solidFill>
              <a:ln>
                <a:noFill/>
              </a:ln>
              <a:effectLst/>
            </c:spPr>
            <c:extLst>
              <c:ext xmlns:c16="http://schemas.microsoft.com/office/drawing/2014/chart" uri="{C3380CC4-5D6E-409C-BE32-E72D297353CC}">
                <c16:uniqueId val="{00000001-B784-48FB-8A22-191269AE640B}"/>
              </c:ext>
            </c:extLst>
          </c:dPt>
          <c:cat>
            <c:strRef>
              <c:f>'pivot tables'!$F$60:$F$64</c:f>
              <c:strCache>
                <c:ptCount val="5"/>
                <c:pt idx="0">
                  <c:v>Business Loan</c:v>
                </c:pt>
                <c:pt idx="1">
                  <c:v>Gold Loan</c:v>
                </c:pt>
                <c:pt idx="2">
                  <c:v>Home Improvement Loan</c:v>
                </c:pt>
                <c:pt idx="3">
                  <c:v>Personal Loan</c:v>
                </c:pt>
                <c:pt idx="4">
                  <c:v>Vehicle Loan</c:v>
                </c:pt>
              </c:strCache>
            </c:strRef>
          </c:cat>
          <c:val>
            <c:numRef>
              <c:f>'pivot tables'!$G$60:$G$64</c:f>
              <c:numCache>
                <c:formatCode>0.00%</c:formatCode>
                <c:ptCount val="5"/>
                <c:pt idx="0">
                  <c:v>8.3333333333333329E-2</c:v>
                </c:pt>
                <c:pt idx="1">
                  <c:v>2.5000000000000001E-2</c:v>
                </c:pt>
                <c:pt idx="2">
                  <c:v>8.8235294117647065E-2</c:v>
                </c:pt>
                <c:pt idx="3">
                  <c:v>0.13636363636363635</c:v>
                </c:pt>
                <c:pt idx="4">
                  <c:v>6.5217391304347824E-2</c:v>
                </c:pt>
              </c:numCache>
            </c:numRef>
          </c:val>
          <c:extLst>
            <c:ext xmlns:c16="http://schemas.microsoft.com/office/drawing/2014/chart" uri="{C3380CC4-5D6E-409C-BE32-E72D297353CC}">
              <c16:uniqueId val="{00000002-B784-48FB-8A22-191269AE640B}"/>
            </c:ext>
          </c:extLst>
        </c:ser>
        <c:dLbls>
          <c:showLegendKey val="0"/>
          <c:showVal val="0"/>
          <c:showCatName val="0"/>
          <c:showSerName val="0"/>
          <c:showPercent val="0"/>
          <c:showBubbleSize val="0"/>
        </c:dLbls>
        <c:gapWidth val="182"/>
        <c:axId val="1661885360"/>
        <c:axId val="1661902160"/>
      </c:barChart>
      <c:catAx>
        <c:axId val="166188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902160"/>
        <c:crosses val="autoZero"/>
        <c:auto val="1"/>
        <c:lblAlgn val="ctr"/>
        <c:lblOffset val="100"/>
        <c:noMultiLvlLbl val="0"/>
      </c:catAx>
      <c:valAx>
        <c:axId val="16619021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85360"/>
        <c:crosses val="autoZero"/>
        <c:crossBetween val="between"/>
      </c:valAx>
      <c:spPr>
        <a:noFill/>
        <a:ln>
          <a:noFill/>
        </a:ln>
        <a:effectLst/>
      </c:spPr>
    </c:plotArea>
    <c:plotVisOnly val="1"/>
    <c:dispBlanksAs val="gap"/>
    <c:showDLblsOverMax val="0"/>
  </c:chart>
  <c:spPr>
    <a:solidFill>
      <a:schemeClr val="accent6"/>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a:t>NPA%BY</a:t>
            </a:r>
            <a:r>
              <a:rPr lang="en-IN" sz="1000" b="1" baseline="0"/>
              <a:t> REGION</a:t>
            </a:r>
            <a:endParaRPr lang="en-IN"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effectLst>
              <a:glow rad="177800">
                <a:schemeClr val="accent1">
                  <a:alpha val="40000"/>
                </a:schemeClr>
              </a:glow>
            </a:effectLst>
          </c:spPr>
          <c:dPt>
            <c:idx val="0"/>
            <c:bubble3D val="0"/>
            <c:spPr>
              <a:solidFill>
                <a:schemeClr val="accent1"/>
              </a:solidFill>
              <a:ln w="25400">
                <a:solidFill>
                  <a:schemeClr val="lt1"/>
                </a:solidFill>
              </a:ln>
              <a:effectLst>
                <a:glow rad="177800">
                  <a:schemeClr val="accent1">
                    <a:alpha val="40000"/>
                  </a:schemeClr>
                </a:glow>
              </a:effectLst>
              <a:sp3d contourW="25400">
                <a:contourClr>
                  <a:schemeClr val="lt1"/>
                </a:contourClr>
              </a:sp3d>
            </c:spPr>
            <c:extLst>
              <c:ext xmlns:c16="http://schemas.microsoft.com/office/drawing/2014/chart" uri="{C3380CC4-5D6E-409C-BE32-E72D297353CC}">
                <c16:uniqueId val="{00000001-814A-4CEE-AA5F-C8BC665649FA}"/>
              </c:ext>
            </c:extLst>
          </c:dPt>
          <c:dPt>
            <c:idx val="1"/>
            <c:bubble3D val="0"/>
            <c:spPr>
              <a:solidFill>
                <a:schemeClr val="accent2"/>
              </a:solidFill>
              <a:ln w="25400">
                <a:solidFill>
                  <a:schemeClr val="lt1"/>
                </a:solidFill>
              </a:ln>
              <a:effectLst>
                <a:glow rad="177800">
                  <a:schemeClr val="accent1">
                    <a:alpha val="40000"/>
                  </a:schemeClr>
                </a:glow>
              </a:effectLst>
              <a:sp3d contourW="25400">
                <a:contourClr>
                  <a:schemeClr val="lt1"/>
                </a:contourClr>
              </a:sp3d>
            </c:spPr>
            <c:extLst>
              <c:ext xmlns:c16="http://schemas.microsoft.com/office/drawing/2014/chart" uri="{C3380CC4-5D6E-409C-BE32-E72D297353CC}">
                <c16:uniqueId val="{00000003-814A-4CEE-AA5F-C8BC665649FA}"/>
              </c:ext>
            </c:extLst>
          </c:dPt>
          <c:dPt>
            <c:idx val="2"/>
            <c:bubble3D val="0"/>
            <c:spPr>
              <a:solidFill>
                <a:schemeClr val="accent3"/>
              </a:solidFill>
              <a:ln w="25400">
                <a:solidFill>
                  <a:schemeClr val="lt1"/>
                </a:solidFill>
              </a:ln>
              <a:effectLst>
                <a:glow rad="177800">
                  <a:schemeClr val="accent1">
                    <a:alpha val="40000"/>
                  </a:schemeClr>
                </a:glow>
              </a:effectLst>
              <a:sp3d contourW="25400">
                <a:contourClr>
                  <a:schemeClr val="lt1"/>
                </a:contourClr>
              </a:sp3d>
            </c:spPr>
            <c:extLst>
              <c:ext xmlns:c16="http://schemas.microsoft.com/office/drawing/2014/chart" uri="{C3380CC4-5D6E-409C-BE32-E72D297353CC}">
                <c16:uniqueId val="{00000005-814A-4CEE-AA5F-C8BC665649FA}"/>
              </c:ext>
            </c:extLst>
          </c:dPt>
          <c:dPt>
            <c:idx val="3"/>
            <c:bubble3D val="0"/>
            <c:spPr>
              <a:solidFill>
                <a:schemeClr val="accent4"/>
              </a:solidFill>
              <a:ln w="25400">
                <a:solidFill>
                  <a:schemeClr val="lt1"/>
                </a:solidFill>
              </a:ln>
              <a:effectLst>
                <a:glow rad="177800">
                  <a:schemeClr val="accent1">
                    <a:alpha val="40000"/>
                  </a:schemeClr>
                </a:glow>
              </a:effectLst>
              <a:sp3d contourW="25400">
                <a:contourClr>
                  <a:schemeClr val="lt1"/>
                </a:contourClr>
              </a:sp3d>
            </c:spPr>
            <c:extLst>
              <c:ext xmlns:c16="http://schemas.microsoft.com/office/drawing/2014/chart" uri="{C3380CC4-5D6E-409C-BE32-E72D297353CC}">
                <c16:uniqueId val="{00000007-814A-4CEE-AA5F-C8BC665649FA}"/>
              </c:ext>
            </c:extLst>
          </c:dPt>
          <c:dLbls>
            <c:dLbl>
              <c:idx val="0"/>
              <c:layout>
                <c:manualLayout>
                  <c:x val="-9.422850852170607E-2"/>
                  <c:y val="0.21300943763034177"/>
                </c:manualLayout>
              </c:layout>
              <c:spPr>
                <a:noFill/>
                <a:ln>
                  <a:noFill/>
                </a:ln>
                <a:effectLst/>
              </c:spPr>
              <c:txPr>
                <a:bodyPr rot="0" spcFirstLastPara="1" vertOverflow="ellipsis" vert="horz" wrap="square" lIns="38100" tIns="19050" rIns="38100" bIns="19050" anchor="ctr" anchorCtr="0">
                  <a:spAutoFit/>
                </a:bodyPr>
                <a:lstStyle/>
                <a:p>
                  <a:pPr algn="l">
                    <a:defRPr sz="11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4A-4CEE-AA5F-C8BC665649FA}"/>
                </c:ext>
              </c:extLst>
            </c:dLbl>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tables'!$F$43:$F$46</c:f>
              <c:strCache>
                <c:ptCount val="4"/>
                <c:pt idx="0">
                  <c:v>East</c:v>
                </c:pt>
                <c:pt idx="1">
                  <c:v>North</c:v>
                </c:pt>
                <c:pt idx="2">
                  <c:v>South</c:v>
                </c:pt>
                <c:pt idx="3">
                  <c:v>West</c:v>
                </c:pt>
              </c:strCache>
            </c:strRef>
          </c:cat>
          <c:val>
            <c:numRef>
              <c:f>'pivot tables'!$G$43:$G$46</c:f>
              <c:numCache>
                <c:formatCode>0.0%</c:formatCode>
                <c:ptCount val="4"/>
                <c:pt idx="0">
                  <c:v>5.7692307692307696E-2</c:v>
                </c:pt>
                <c:pt idx="1">
                  <c:v>8.3333333333333329E-2</c:v>
                </c:pt>
                <c:pt idx="2">
                  <c:v>0.10204081632653061</c:v>
                </c:pt>
                <c:pt idx="3">
                  <c:v>7.8431372549019607E-2</c:v>
                </c:pt>
              </c:numCache>
            </c:numRef>
          </c:val>
          <c:extLst>
            <c:ext xmlns:c16="http://schemas.microsoft.com/office/drawing/2014/chart" uri="{C3380CC4-5D6E-409C-BE32-E72D297353CC}">
              <c16:uniqueId val="{00000008-814A-4CEE-AA5F-C8BC665649FA}"/>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a:t>OVERDUE</a:t>
            </a:r>
            <a:r>
              <a:rPr lang="en-IN" sz="1000" b="1" baseline="0"/>
              <a:t> BY PRODUCT</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tables'!$H$60:$H$64</c:f>
              <c:strCache>
                <c:ptCount val="5"/>
                <c:pt idx="0">
                  <c:v>Business Loan</c:v>
                </c:pt>
                <c:pt idx="1">
                  <c:v>Gold Loan</c:v>
                </c:pt>
                <c:pt idx="2">
                  <c:v>Home Improvement Loan</c:v>
                </c:pt>
                <c:pt idx="3">
                  <c:v>Personal Loan</c:v>
                </c:pt>
                <c:pt idx="4">
                  <c:v>Vehicle Loan</c:v>
                </c:pt>
              </c:strCache>
            </c:strRef>
          </c:cat>
          <c:val>
            <c:numRef>
              <c:f>'pivot tables'!$I$60:$I$64</c:f>
              <c:numCache>
                <c:formatCode>0%</c:formatCode>
                <c:ptCount val="5"/>
                <c:pt idx="0">
                  <c:v>0.27777777777777779</c:v>
                </c:pt>
                <c:pt idx="1">
                  <c:v>0.05</c:v>
                </c:pt>
                <c:pt idx="2">
                  <c:v>0.17647058823529413</c:v>
                </c:pt>
                <c:pt idx="3">
                  <c:v>0.29545454545454547</c:v>
                </c:pt>
                <c:pt idx="4">
                  <c:v>0.13043478260869565</c:v>
                </c:pt>
              </c:numCache>
            </c:numRef>
          </c:val>
          <c:extLst>
            <c:ext xmlns:c16="http://schemas.microsoft.com/office/drawing/2014/chart" uri="{C3380CC4-5D6E-409C-BE32-E72D297353CC}">
              <c16:uniqueId val="{00000000-A53F-4C58-8761-E6DE4B704A56}"/>
            </c:ext>
          </c:extLst>
        </c:ser>
        <c:dLbls>
          <c:showLegendKey val="0"/>
          <c:showVal val="0"/>
          <c:showCatName val="0"/>
          <c:showSerName val="0"/>
          <c:showPercent val="0"/>
          <c:showBubbleSize val="0"/>
        </c:dLbls>
        <c:gapWidth val="182"/>
        <c:axId val="1661901680"/>
        <c:axId val="1661902160"/>
      </c:barChart>
      <c:catAx>
        <c:axId val="166190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902160"/>
        <c:crosses val="autoZero"/>
        <c:auto val="1"/>
        <c:lblAlgn val="ctr"/>
        <c:lblOffset val="100"/>
        <c:noMultiLvlLbl val="0"/>
      </c:catAx>
      <c:valAx>
        <c:axId val="16619021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901680"/>
        <c:crosses val="autoZero"/>
        <c:crossBetween val="between"/>
      </c:valAx>
      <c:spPr>
        <a:noFill/>
        <a:ln>
          <a:noFill/>
        </a:ln>
        <a:effectLst/>
      </c:spPr>
    </c:plotArea>
    <c:plotVisOnly val="1"/>
    <c:dispBlanksAs val="gap"/>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a:t> OVERDUE</a:t>
            </a:r>
            <a:r>
              <a:rPr lang="en-IN" sz="1000" b="1" baseline="0"/>
              <a:t> BY EMPLOYMENT TYPE</a:t>
            </a:r>
            <a:endParaRPr lang="en-IN" sz="1000" b="1"/>
          </a:p>
        </c:rich>
      </c:tx>
      <c:layout>
        <c:manualLayout>
          <c:xMode val="edge"/>
          <c:yMode val="edge"/>
          <c:x val="0.13090110775145664"/>
          <c:y val="1.6220237620095213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 tables'!$H$72:$H$74</c:f>
              <c:strCache>
                <c:ptCount val="3"/>
                <c:pt idx="0">
                  <c:v>Business Owner</c:v>
                </c:pt>
                <c:pt idx="1">
                  <c:v>Salaried</c:v>
                </c:pt>
                <c:pt idx="2">
                  <c:v>Self-Employed</c:v>
                </c:pt>
              </c:strCache>
            </c:strRef>
          </c:cat>
          <c:val>
            <c:numRef>
              <c:f>'pivot tables'!$I$72:$I$74</c:f>
              <c:numCache>
                <c:formatCode>0%</c:formatCode>
                <c:ptCount val="3"/>
                <c:pt idx="0">
                  <c:v>0.22058823529411764</c:v>
                </c:pt>
                <c:pt idx="1">
                  <c:v>0.10810810810810811</c:v>
                </c:pt>
                <c:pt idx="2">
                  <c:v>0.2413793103448276</c:v>
                </c:pt>
              </c:numCache>
            </c:numRef>
          </c:val>
          <c:extLst>
            <c:ext xmlns:c16="http://schemas.microsoft.com/office/drawing/2014/chart" uri="{C3380CC4-5D6E-409C-BE32-E72D297353CC}">
              <c16:uniqueId val="{00000000-F167-4AFE-9A77-D0B009127400}"/>
            </c:ext>
          </c:extLst>
        </c:ser>
        <c:dLbls>
          <c:showLegendKey val="0"/>
          <c:showVal val="0"/>
          <c:showCatName val="0"/>
          <c:showSerName val="0"/>
          <c:showPercent val="0"/>
          <c:showBubbleSize val="0"/>
        </c:dLbls>
        <c:gapWidth val="219"/>
        <c:overlap val="-27"/>
        <c:axId val="1518591312"/>
        <c:axId val="1518581232"/>
      </c:barChart>
      <c:catAx>
        <c:axId val="15185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581232"/>
        <c:crosses val="autoZero"/>
        <c:auto val="1"/>
        <c:lblAlgn val="ctr"/>
        <c:lblOffset val="100"/>
        <c:noMultiLvlLbl val="0"/>
      </c:catAx>
      <c:valAx>
        <c:axId val="1518581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591312"/>
        <c:crosses val="autoZero"/>
        <c:crossBetween val="between"/>
      </c:valAx>
      <c:spPr>
        <a:noFill/>
        <a:ln>
          <a:noFill/>
        </a:ln>
        <a:effectLst/>
      </c:spPr>
    </c:plotArea>
    <c:plotVisOnly val="1"/>
    <c:dispBlanksAs val="gap"/>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(2).xlsx]pivot tables!PivotTable28</c:name>
    <c:fmtId val="8"/>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DPD</a:t>
            </a:r>
            <a:r>
              <a:rPr lang="en-US" sz="1000" b="1" baseline="0"/>
              <a:t> BY OUTSTANDING</a:t>
            </a:r>
          </a:p>
        </c:rich>
      </c:tx>
      <c:layout>
        <c:manualLayout>
          <c:xMode val="edge"/>
          <c:yMode val="edge"/>
          <c:x val="0.22093986081649361"/>
          <c:y val="2.2154460198727251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127420800950691"/>
          <c:y val="0.34731081957289911"/>
          <c:w val="0.44468704695554123"/>
          <c:h val="0.44177748858012728"/>
        </c:manualLayout>
      </c:layout>
      <c:bar3DChart>
        <c:barDir val="col"/>
        <c:grouping val="clustered"/>
        <c:varyColors val="0"/>
        <c:ser>
          <c:idx val="0"/>
          <c:order val="0"/>
          <c:tx>
            <c:strRef>
              <c:f>'pivot tables'!$B$168</c:f>
              <c:strCache>
                <c:ptCount val="1"/>
                <c:pt idx="0">
                  <c:v>Total</c:v>
                </c:pt>
              </c:strCache>
            </c:strRef>
          </c:tx>
          <c:spPr>
            <a:solidFill>
              <a:schemeClr val="accent1"/>
            </a:solidFill>
            <a:ln>
              <a:noFill/>
            </a:ln>
            <a:effectLst/>
            <a:sp3d/>
          </c:spPr>
          <c:invertIfNegative val="0"/>
          <c:cat>
            <c:strRef>
              <c:f>'pivot tables'!$A$169:$A$172</c:f>
              <c:strCache>
                <c:ptCount val="3"/>
                <c:pt idx="0">
                  <c:v>&lt;1</c:v>
                </c:pt>
                <c:pt idx="1">
                  <c:v>1-90</c:v>
                </c:pt>
                <c:pt idx="2">
                  <c:v>&gt;91</c:v>
                </c:pt>
              </c:strCache>
            </c:strRef>
          </c:cat>
          <c:val>
            <c:numRef>
              <c:f>'pivot tables'!$B$169:$B$172</c:f>
              <c:numCache>
                <c:formatCode>General</c:formatCode>
                <c:ptCount val="3"/>
                <c:pt idx="0">
                  <c:v>68968670</c:v>
                </c:pt>
                <c:pt idx="1">
                  <c:v>20870151</c:v>
                </c:pt>
                <c:pt idx="2">
                  <c:v>9462709</c:v>
                </c:pt>
              </c:numCache>
            </c:numRef>
          </c:val>
          <c:extLst>
            <c:ext xmlns:c16="http://schemas.microsoft.com/office/drawing/2014/chart" uri="{C3380CC4-5D6E-409C-BE32-E72D297353CC}">
              <c16:uniqueId val="{00000000-2034-42A2-BE9F-84FD727BD563}"/>
            </c:ext>
          </c:extLst>
        </c:ser>
        <c:dLbls>
          <c:showLegendKey val="0"/>
          <c:showVal val="0"/>
          <c:showCatName val="0"/>
          <c:showSerName val="0"/>
          <c:showPercent val="0"/>
          <c:showBubbleSize val="0"/>
        </c:dLbls>
        <c:gapWidth val="150"/>
        <c:shape val="box"/>
        <c:axId val="1485547760"/>
        <c:axId val="1485548240"/>
        <c:axId val="0"/>
      </c:bar3DChart>
      <c:catAx>
        <c:axId val="1485547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548240"/>
        <c:crosses val="autoZero"/>
        <c:auto val="1"/>
        <c:lblAlgn val="ctr"/>
        <c:lblOffset val="100"/>
        <c:noMultiLvlLbl val="0"/>
      </c:catAx>
      <c:valAx>
        <c:axId val="1485548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54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(2).xlsx]pivot tables!PivotTable1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AMOUND</a:t>
            </a:r>
            <a:r>
              <a:rPr lang="en-IN" sz="1100" b="1" baseline="0"/>
              <a:t> OVER BY MONTH</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6EB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Sum of AmountCollectedTillDate</c:v>
                </c:pt>
              </c:strCache>
            </c:strRef>
          </c:tx>
          <c:spPr>
            <a:solidFill>
              <a:schemeClr val="accent1"/>
            </a:solidFill>
            <a:ln>
              <a:noFill/>
            </a:ln>
            <a:effectLst/>
          </c:spPr>
          <c:invertIfNegative val="0"/>
          <c:cat>
            <c:strRef>
              <c:f>'pivot tables'!$A$4:$A$10</c:f>
              <c:strCache>
                <c:ptCount val="6"/>
                <c:pt idx="0">
                  <c:v>Jan</c:v>
                </c:pt>
                <c:pt idx="1">
                  <c:v>Feb</c:v>
                </c:pt>
                <c:pt idx="2">
                  <c:v>Mar</c:v>
                </c:pt>
                <c:pt idx="3">
                  <c:v>Apr</c:v>
                </c:pt>
                <c:pt idx="4">
                  <c:v>May</c:v>
                </c:pt>
                <c:pt idx="5">
                  <c:v>Jun</c:v>
                </c:pt>
              </c:strCache>
            </c:strRef>
          </c:cat>
          <c:val>
            <c:numRef>
              <c:f>'pivot tables'!$B$4:$B$10</c:f>
              <c:numCache>
                <c:formatCode>General</c:formatCode>
                <c:ptCount val="6"/>
                <c:pt idx="0">
                  <c:v>4387565</c:v>
                </c:pt>
                <c:pt idx="1">
                  <c:v>3784489</c:v>
                </c:pt>
                <c:pt idx="2">
                  <c:v>2519338</c:v>
                </c:pt>
                <c:pt idx="3">
                  <c:v>1670725</c:v>
                </c:pt>
                <c:pt idx="4">
                  <c:v>906181</c:v>
                </c:pt>
                <c:pt idx="5">
                  <c:v>433928</c:v>
                </c:pt>
              </c:numCache>
            </c:numRef>
          </c:val>
          <c:extLst>
            <c:ext xmlns:c16="http://schemas.microsoft.com/office/drawing/2014/chart" uri="{C3380CC4-5D6E-409C-BE32-E72D297353CC}">
              <c16:uniqueId val="{00000000-0EAE-448A-81D2-A8F4646B9899}"/>
            </c:ext>
          </c:extLst>
        </c:ser>
        <c:dLbls>
          <c:showLegendKey val="0"/>
          <c:showVal val="0"/>
          <c:showCatName val="0"/>
          <c:showSerName val="0"/>
          <c:showPercent val="0"/>
          <c:showBubbleSize val="0"/>
        </c:dLbls>
        <c:gapWidth val="219"/>
        <c:axId val="1684412464"/>
        <c:axId val="1684415824"/>
      </c:barChart>
      <c:lineChart>
        <c:grouping val="standard"/>
        <c:varyColors val="0"/>
        <c:ser>
          <c:idx val="1"/>
          <c:order val="1"/>
          <c:tx>
            <c:strRef>
              <c:f>'pivot tables'!$C$3</c:f>
              <c:strCache>
                <c:ptCount val="1"/>
                <c:pt idx="0">
                  <c:v>Sum of LoanAmount</c:v>
                </c:pt>
              </c:strCache>
            </c:strRef>
          </c:tx>
          <c:spPr>
            <a:ln w="28575" cap="rnd">
              <a:solidFill>
                <a:srgbClr val="E6EBF0"/>
              </a:solidFill>
              <a:round/>
            </a:ln>
            <a:effectLst/>
          </c:spPr>
          <c:marker>
            <c:symbol val="none"/>
          </c:marker>
          <c:cat>
            <c:strRef>
              <c:f>'pivot tables'!$A$4:$A$10</c:f>
              <c:strCache>
                <c:ptCount val="6"/>
                <c:pt idx="0">
                  <c:v>Jan</c:v>
                </c:pt>
                <c:pt idx="1">
                  <c:v>Feb</c:v>
                </c:pt>
                <c:pt idx="2">
                  <c:v>Mar</c:v>
                </c:pt>
                <c:pt idx="3">
                  <c:v>Apr</c:v>
                </c:pt>
                <c:pt idx="4">
                  <c:v>May</c:v>
                </c:pt>
                <c:pt idx="5">
                  <c:v>Jun</c:v>
                </c:pt>
              </c:strCache>
            </c:strRef>
          </c:cat>
          <c:val>
            <c:numRef>
              <c:f>'pivot tables'!$C$4:$C$10</c:f>
              <c:numCache>
                <c:formatCode>General</c:formatCode>
                <c:ptCount val="6"/>
                <c:pt idx="0">
                  <c:v>20734000</c:v>
                </c:pt>
                <c:pt idx="1">
                  <c:v>21663000</c:v>
                </c:pt>
                <c:pt idx="2">
                  <c:v>21818000</c:v>
                </c:pt>
                <c:pt idx="3">
                  <c:v>20642000</c:v>
                </c:pt>
                <c:pt idx="4">
                  <c:v>13097000</c:v>
                </c:pt>
                <c:pt idx="5">
                  <c:v>11421000</c:v>
                </c:pt>
              </c:numCache>
            </c:numRef>
          </c:val>
          <c:smooth val="0"/>
          <c:extLst>
            <c:ext xmlns:c16="http://schemas.microsoft.com/office/drawing/2014/chart" uri="{C3380CC4-5D6E-409C-BE32-E72D297353CC}">
              <c16:uniqueId val="{00000001-0EAE-448A-81D2-A8F4646B9899}"/>
            </c:ext>
          </c:extLst>
        </c:ser>
        <c:dLbls>
          <c:showLegendKey val="0"/>
          <c:showVal val="0"/>
          <c:showCatName val="0"/>
          <c:showSerName val="0"/>
          <c:showPercent val="0"/>
          <c:showBubbleSize val="0"/>
        </c:dLbls>
        <c:marker val="1"/>
        <c:smooth val="0"/>
        <c:axId val="23286591"/>
        <c:axId val="23281791"/>
      </c:lineChart>
      <c:catAx>
        <c:axId val="168441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15824"/>
        <c:crosses val="autoZero"/>
        <c:auto val="1"/>
        <c:lblAlgn val="ctr"/>
        <c:lblOffset val="100"/>
        <c:noMultiLvlLbl val="0"/>
      </c:catAx>
      <c:valAx>
        <c:axId val="1684415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12464"/>
        <c:crosses val="autoZero"/>
        <c:crossBetween val="between"/>
      </c:valAx>
      <c:valAx>
        <c:axId val="232817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6591"/>
        <c:crosses val="max"/>
        <c:crossBetween val="between"/>
      </c:valAx>
      <c:catAx>
        <c:axId val="23286591"/>
        <c:scaling>
          <c:orientation val="minMax"/>
        </c:scaling>
        <c:delete val="1"/>
        <c:axPos val="b"/>
        <c:numFmt formatCode="General" sourceLinked="1"/>
        <c:majorTickMark val="out"/>
        <c:minorTickMark val="none"/>
        <c:tickLblPos val="nextTo"/>
        <c:crossAx val="23281791"/>
        <c:crosses val="autoZero"/>
        <c:auto val="1"/>
        <c:lblAlgn val="ctr"/>
        <c:lblOffset val="100"/>
        <c:noMultiLvlLbl val="0"/>
      </c:catAx>
      <c:spPr>
        <a:noFill/>
        <a:ln>
          <a:noFill/>
        </a:ln>
        <a:effectLst/>
      </c:spPr>
    </c:plotArea>
    <c:legend>
      <c:legendPos val="r"/>
      <c:layout>
        <c:manualLayout>
          <c:xMode val="edge"/>
          <c:yMode val="edge"/>
          <c:x val="0.62149954832881649"/>
          <c:y val="0.30246526775776061"/>
          <c:w val="0.34688346883468835"/>
          <c:h val="0.57779138864186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747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NPA%</a:t>
            </a:r>
            <a:r>
              <a:rPr lang="en-IN" sz="1200" b="1" baseline="0"/>
              <a:t> BY AGE</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354C-4091-B250-E0B0C664D2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tables'!$F$85:$F$88</c:f>
              <c:strCache>
                <c:ptCount val="4"/>
                <c:pt idx="0">
                  <c:v>&lt;30</c:v>
                </c:pt>
                <c:pt idx="1">
                  <c:v>30-40</c:v>
                </c:pt>
                <c:pt idx="2">
                  <c:v>40-50</c:v>
                </c:pt>
                <c:pt idx="3">
                  <c:v>50+</c:v>
                </c:pt>
              </c:strCache>
            </c:strRef>
          </c:cat>
          <c:val>
            <c:numRef>
              <c:f>'pivot tables'!$G$85:$G$88</c:f>
              <c:numCache>
                <c:formatCode>0.00%</c:formatCode>
                <c:ptCount val="4"/>
                <c:pt idx="0">
                  <c:v>6.0606060606060608E-2</c:v>
                </c:pt>
                <c:pt idx="1">
                  <c:v>0.13043478260869565</c:v>
                </c:pt>
                <c:pt idx="2">
                  <c:v>9.2307692307692313E-2</c:v>
                </c:pt>
                <c:pt idx="3">
                  <c:v>3.5714285714285712E-2</c:v>
                </c:pt>
              </c:numCache>
            </c:numRef>
          </c:val>
          <c:extLst>
            <c:ext xmlns:c16="http://schemas.microsoft.com/office/drawing/2014/chart" uri="{C3380CC4-5D6E-409C-BE32-E72D297353CC}">
              <c16:uniqueId val="{00000002-354C-4091-B250-E0B0C664D236}"/>
            </c:ext>
          </c:extLst>
        </c:ser>
        <c:dLbls>
          <c:dLblPos val="outEnd"/>
          <c:showLegendKey val="0"/>
          <c:showVal val="1"/>
          <c:showCatName val="0"/>
          <c:showSerName val="0"/>
          <c:showPercent val="0"/>
          <c:showBubbleSize val="0"/>
        </c:dLbls>
        <c:gapWidth val="182"/>
        <c:axId val="397524095"/>
        <c:axId val="397512575"/>
      </c:barChart>
      <c:catAx>
        <c:axId val="39752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12575"/>
        <c:crosses val="autoZero"/>
        <c:auto val="1"/>
        <c:lblAlgn val="ctr"/>
        <c:lblOffset val="100"/>
        <c:noMultiLvlLbl val="0"/>
      </c:catAx>
      <c:valAx>
        <c:axId val="397512575"/>
        <c:scaling>
          <c:orientation val="minMax"/>
        </c:scaling>
        <c:delete val="1"/>
        <c:axPos val="b"/>
        <c:numFmt formatCode="0.00%" sourceLinked="1"/>
        <c:majorTickMark val="none"/>
        <c:minorTickMark val="none"/>
        <c:tickLblPos val="nextTo"/>
        <c:crossAx val="397524095"/>
        <c:crosses val="autoZero"/>
        <c:crossBetween val="between"/>
      </c:valAx>
      <c:spPr>
        <a:noFill/>
        <a:ln>
          <a:noFill/>
        </a:ln>
        <a:effectLst/>
      </c:spPr>
    </c:plotArea>
    <c:plotVisOnly val="1"/>
    <c:dispBlanksAs val="gap"/>
    <c:showDLblsOverMax val="0"/>
  </c:chart>
  <c:spPr>
    <a:solidFill>
      <a:srgbClr val="FF747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200" b="1"/>
              <a:t>NPA%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manualLayout>
          <c:layoutTarget val="inner"/>
          <c:xMode val="edge"/>
          <c:yMode val="edge"/>
          <c:x val="0.25932183005426207"/>
          <c:y val="0.22614247311827956"/>
          <c:w val="0.46338724168912848"/>
          <c:h val="0.69321236559139787"/>
        </c:manualLayout>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82D-4283-9F4A-0BB2D590628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82D-4283-9F4A-0BB2D590628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82D-4283-9F4A-0BB2D590628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82D-4283-9F4A-0BB2D59062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tables'!$F$43:$F$46</c:f>
              <c:strCache>
                <c:ptCount val="4"/>
                <c:pt idx="0">
                  <c:v>East</c:v>
                </c:pt>
                <c:pt idx="1">
                  <c:v>North</c:v>
                </c:pt>
                <c:pt idx="2">
                  <c:v>South</c:v>
                </c:pt>
                <c:pt idx="3">
                  <c:v>West</c:v>
                </c:pt>
              </c:strCache>
            </c:strRef>
          </c:cat>
          <c:val>
            <c:numRef>
              <c:f>'pivot tables'!$G$43:$G$46</c:f>
              <c:numCache>
                <c:formatCode>0.0%</c:formatCode>
                <c:ptCount val="4"/>
                <c:pt idx="0">
                  <c:v>5.7692307692307696E-2</c:v>
                </c:pt>
                <c:pt idx="1">
                  <c:v>8.3333333333333329E-2</c:v>
                </c:pt>
                <c:pt idx="2">
                  <c:v>0.10204081632653061</c:v>
                </c:pt>
                <c:pt idx="3">
                  <c:v>7.8431372549019607E-2</c:v>
                </c:pt>
              </c:numCache>
            </c:numRef>
          </c:val>
          <c:extLst>
            <c:ext xmlns:c16="http://schemas.microsoft.com/office/drawing/2014/chart" uri="{C3380CC4-5D6E-409C-BE32-E72D297353CC}">
              <c16:uniqueId val="{00000008-282D-4283-9F4A-0BB2D5906286}"/>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rgbClr val="FF7474"/>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NPA%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tables'!$F$60:$F$64</c:f>
              <c:strCache>
                <c:ptCount val="5"/>
                <c:pt idx="0">
                  <c:v>Business Loan</c:v>
                </c:pt>
                <c:pt idx="1">
                  <c:v>Gold Loan</c:v>
                </c:pt>
                <c:pt idx="2">
                  <c:v>Home Improvement Loan</c:v>
                </c:pt>
                <c:pt idx="3">
                  <c:v>Personal Loan</c:v>
                </c:pt>
                <c:pt idx="4">
                  <c:v>Vehicle Loan</c:v>
                </c:pt>
              </c:strCache>
            </c:strRef>
          </c:cat>
          <c:val>
            <c:numRef>
              <c:f>'pivot tables'!$G$60:$G$64</c:f>
              <c:numCache>
                <c:formatCode>0.00%</c:formatCode>
                <c:ptCount val="5"/>
                <c:pt idx="0">
                  <c:v>8.3333333333333329E-2</c:v>
                </c:pt>
                <c:pt idx="1">
                  <c:v>2.5000000000000001E-2</c:v>
                </c:pt>
                <c:pt idx="2">
                  <c:v>8.8235294117647065E-2</c:v>
                </c:pt>
                <c:pt idx="3">
                  <c:v>0.13636363636363635</c:v>
                </c:pt>
                <c:pt idx="4">
                  <c:v>6.5217391304347824E-2</c:v>
                </c:pt>
              </c:numCache>
            </c:numRef>
          </c:val>
          <c:extLst>
            <c:ext xmlns:c16="http://schemas.microsoft.com/office/drawing/2014/chart" uri="{C3380CC4-5D6E-409C-BE32-E72D297353CC}">
              <c16:uniqueId val="{00000000-45ED-4E25-88F9-200CBF508561}"/>
            </c:ext>
          </c:extLst>
        </c:ser>
        <c:dLbls>
          <c:showLegendKey val="0"/>
          <c:showVal val="1"/>
          <c:showCatName val="0"/>
          <c:showSerName val="0"/>
          <c:showPercent val="0"/>
          <c:showBubbleSize val="0"/>
        </c:dLbls>
        <c:gapWidth val="182"/>
        <c:axId val="189540591"/>
        <c:axId val="189536271"/>
      </c:barChart>
      <c:catAx>
        <c:axId val="18954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36271"/>
        <c:crosses val="autoZero"/>
        <c:auto val="1"/>
        <c:lblAlgn val="ctr"/>
        <c:lblOffset val="100"/>
        <c:noMultiLvlLbl val="0"/>
      </c:catAx>
      <c:valAx>
        <c:axId val="18953627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4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747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NPA%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tables'!$F$27</c:f>
              <c:strCache>
                <c:ptCount val="1"/>
                <c:pt idx="0">
                  <c:v>Bengaluru-01</c:v>
                </c:pt>
              </c:strCache>
            </c:strRef>
          </c:tx>
          <c:spPr>
            <a:solidFill>
              <a:schemeClr val="accent1"/>
            </a:solidFill>
            <a:ln>
              <a:solidFill>
                <a:srgbClr val="FF0000"/>
              </a:solidFill>
            </a:ln>
            <a:effectLst/>
          </c:spPr>
          <c:invertIfNegative val="0"/>
          <c:dLbls>
            <c:spPr>
              <a:pattFill prst="pct10">
                <a:fgClr>
                  <a:schemeClr val="tx1">
                    <a:lumMod val="75000"/>
                    <a:lumOff val="25000"/>
                  </a:schemeClr>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tables'!$G$27</c:f>
              <c:numCache>
                <c:formatCode>0.0%</c:formatCode>
                <c:ptCount val="1"/>
                <c:pt idx="0">
                  <c:v>9.5238095238095233E-2</c:v>
                </c:pt>
              </c:numCache>
            </c:numRef>
          </c:val>
          <c:extLst>
            <c:ext xmlns:c16="http://schemas.microsoft.com/office/drawing/2014/chart" uri="{C3380CC4-5D6E-409C-BE32-E72D297353CC}">
              <c16:uniqueId val="{00000000-67E1-41FC-B002-04606BEDCAD0}"/>
            </c:ext>
          </c:extLst>
        </c:ser>
        <c:ser>
          <c:idx val="1"/>
          <c:order val="1"/>
          <c:tx>
            <c:strRef>
              <c:f>'pivot tables'!$F$28</c:f>
              <c:strCache>
                <c:ptCount val="1"/>
                <c:pt idx="0">
                  <c:v>Bhubaneswar-01</c:v>
                </c:pt>
              </c:strCache>
            </c:strRef>
          </c:tx>
          <c:spPr>
            <a:solidFill>
              <a:schemeClr val="accent2"/>
            </a:solidFill>
            <a:ln>
              <a:noFill/>
            </a:ln>
            <a:effectLst/>
          </c:spPr>
          <c:invertIfNegative val="0"/>
          <c:dLbls>
            <c:spPr>
              <a:pattFill prst="pct5">
                <a:fgClr>
                  <a:schemeClr val="tx1">
                    <a:lumMod val="75000"/>
                    <a:lumOff val="25000"/>
                  </a:schemeClr>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tables'!$G$28</c:f>
              <c:numCache>
                <c:formatCode>0.0%</c:formatCode>
                <c:ptCount val="1"/>
                <c:pt idx="0">
                  <c:v>0.04</c:v>
                </c:pt>
              </c:numCache>
            </c:numRef>
          </c:val>
          <c:extLst>
            <c:ext xmlns:c16="http://schemas.microsoft.com/office/drawing/2014/chart" uri="{C3380CC4-5D6E-409C-BE32-E72D297353CC}">
              <c16:uniqueId val="{00000001-67E1-41FC-B002-04606BEDCAD0}"/>
            </c:ext>
          </c:extLst>
        </c:ser>
        <c:ser>
          <c:idx val="2"/>
          <c:order val="2"/>
          <c:tx>
            <c:strRef>
              <c:f>'pivot tables'!$F$29</c:f>
              <c:strCache>
                <c:ptCount val="1"/>
                <c:pt idx="0">
                  <c:v>Chennai-01</c:v>
                </c:pt>
              </c:strCache>
            </c:strRef>
          </c:tx>
          <c:spPr>
            <a:solidFill>
              <a:schemeClr val="accent3"/>
            </a:solidFill>
            <a:ln>
              <a:noFill/>
            </a:ln>
            <a:effectLst/>
          </c:spPr>
          <c:invertIfNegative val="0"/>
          <c:dLbls>
            <c:spPr>
              <a:pattFill prst="pct5">
                <a:fgClr>
                  <a:schemeClr val="tx1">
                    <a:lumMod val="75000"/>
                    <a:lumOff val="25000"/>
                  </a:schemeClr>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tables'!$G$29</c:f>
              <c:numCache>
                <c:formatCode>0.0%</c:formatCode>
                <c:ptCount val="1"/>
                <c:pt idx="0">
                  <c:v>0.10714285714285714</c:v>
                </c:pt>
              </c:numCache>
            </c:numRef>
          </c:val>
          <c:extLst>
            <c:ext xmlns:c16="http://schemas.microsoft.com/office/drawing/2014/chart" uri="{C3380CC4-5D6E-409C-BE32-E72D297353CC}">
              <c16:uniqueId val="{00000002-67E1-41FC-B002-04606BEDCAD0}"/>
            </c:ext>
          </c:extLst>
        </c:ser>
        <c:ser>
          <c:idx val="3"/>
          <c:order val="3"/>
          <c:tx>
            <c:strRef>
              <c:f>'pivot tables'!$F$30</c:f>
              <c:strCache>
                <c:ptCount val="1"/>
                <c:pt idx="0">
                  <c:v>Delhi-01</c:v>
                </c:pt>
              </c:strCache>
            </c:strRef>
          </c:tx>
          <c:spPr>
            <a:solidFill>
              <a:schemeClr val="accent4"/>
            </a:solidFill>
            <a:ln>
              <a:noFill/>
            </a:ln>
            <a:effectLst/>
          </c:spPr>
          <c:invertIfNegative val="0"/>
          <c:dLbls>
            <c:spPr>
              <a:pattFill prst="pct5">
                <a:fgClr>
                  <a:schemeClr val="tx1">
                    <a:lumMod val="75000"/>
                    <a:lumOff val="25000"/>
                  </a:schemeClr>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tables'!$G$30</c:f>
              <c:numCache>
                <c:formatCode>0.0%</c:formatCode>
                <c:ptCount val="1"/>
                <c:pt idx="0">
                  <c:v>8.3333333333333329E-2</c:v>
                </c:pt>
              </c:numCache>
            </c:numRef>
          </c:val>
          <c:extLst>
            <c:ext xmlns:c16="http://schemas.microsoft.com/office/drawing/2014/chart" uri="{C3380CC4-5D6E-409C-BE32-E72D297353CC}">
              <c16:uniqueId val="{00000003-67E1-41FC-B002-04606BEDCAD0}"/>
            </c:ext>
          </c:extLst>
        </c:ser>
        <c:ser>
          <c:idx val="4"/>
          <c:order val="4"/>
          <c:tx>
            <c:strRef>
              <c:f>'pivot tables'!$F$31</c:f>
              <c:strCache>
                <c:ptCount val="1"/>
                <c:pt idx="0">
                  <c:v>Kolkata-01</c:v>
                </c:pt>
              </c:strCache>
            </c:strRef>
          </c:tx>
          <c:spPr>
            <a:solidFill>
              <a:schemeClr val="accent5"/>
            </a:solidFill>
            <a:ln>
              <a:noFill/>
            </a:ln>
            <a:effectLst/>
          </c:spPr>
          <c:invertIfNegative val="0"/>
          <c:dLbls>
            <c:spPr>
              <a:pattFill prst="pct5">
                <a:fgClr>
                  <a:schemeClr val="tx1">
                    <a:lumMod val="75000"/>
                    <a:lumOff val="25000"/>
                  </a:schemeClr>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tables'!$G$31</c:f>
              <c:numCache>
                <c:formatCode>0.0%</c:formatCode>
                <c:ptCount val="1"/>
                <c:pt idx="0">
                  <c:v>7.407407407407407E-2</c:v>
                </c:pt>
              </c:numCache>
            </c:numRef>
          </c:val>
          <c:extLst>
            <c:ext xmlns:c16="http://schemas.microsoft.com/office/drawing/2014/chart" uri="{C3380CC4-5D6E-409C-BE32-E72D297353CC}">
              <c16:uniqueId val="{00000004-67E1-41FC-B002-04606BEDCAD0}"/>
            </c:ext>
          </c:extLst>
        </c:ser>
        <c:ser>
          <c:idx val="5"/>
          <c:order val="5"/>
          <c:tx>
            <c:strRef>
              <c:f>'pivot tables'!$F$32</c:f>
              <c:strCache>
                <c:ptCount val="1"/>
                <c:pt idx="0">
                  <c:v>Lucknow-01</c:v>
                </c:pt>
              </c:strCache>
            </c:strRef>
          </c:tx>
          <c:spPr>
            <a:solidFill>
              <a:schemeClr val="accent6"/>
            </a:solidFill>
            <a:ln>
              <a:noFill/>
            </a:ln>
            <a:effectLst/>
          </c:spPr>
          <c:invertIfNegative val="0"/>
          <c:dLbls>
            <c:spPr>
              <a:pattFill prst="pct5">
                <a:fgClr>
                  <a:schemeClr val="tx1">
                    <a:lumMod val="75000"/>
                    <a:lumOff val="25000"/>
                  </a:schemeClr>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tables'!$G$32</c:f>
              <c:numCache>
                <c:formatCode>0.0%</c:formatCode>
                <c:ptCount val="1"/>
                <c:pt idx="0">
                  <c:v>8.3333333333333329E-2</c:v>
                </c:pt>
              </c:numCache>
            </c:numRef>
          </c:val>
          <c:extLst>
            <c:ext xmlns:c16="http://schemas.microsoft.com/office/drawing/2014/chart" uri="{C3380CC4-5D6E-409C-BE32-E72D297353CC}">
              <c16:uniqueId val="{00000005-67E1-41FC-B002-04606BEDCAD0}"/>
            </c:ext>
          </c:extLst>
        </c:ser>
        <c:ser>
          <c:idx val="6"/>
          <c:order val="6"/>
          <c:tx>
            <c:strRef>
              <c:f>'pivot tables'!$F$33</c:f>
              <c:strCache>
                <c:ptCount val="1"/>
                <c:pt idx="0">
                  <c:v>Mumbai-01</c:v>
                </c:pt>
              </c:strCache>
            </c:strRef>
          </c:tx>
          <c:spPr>
            <a:solidFill>
              <a:schemeClr val="accent1">
                <a:lumMod val="60000"/>
              </a:schemeClr>
            </a:solidFill>
            <a:ln>
              <a:noFill/>
            </a:ln>
            <a:effectLst/>
          </c:spPr>
          <c:invertIfNegative val="0"/>
          <c:dLbls>
            <c:spPr>
              <a:pattFill prst="pct5">
                <a:fgClr>
                  <a:schemeClr val="tx1">
                    <a:lumMod val="75000"/>
                    <a:lumOff val="25000"/>
                  </a:schemeClr>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tables'!$G$33</c:f>
              <c:numCache>
                <c:formatCode>0.0%</c:formatCode>
                <c:ptCount val="1"/>
                <c:pt idx="0">
                  <c:v>6.4516129032258063E-2</c:v>
                </c:pt>
              </c:numCache>
            </c:numRef>
          </c:val>
          <c:extLst>
            <c:ext xmlns:c16="http://schemas.microsoft.com/office/drawing/2014/chart" uri="{C3380CC4-5D6E-409C-BE32-E72D297353CC}">
              <c16:uniqueId val="{00000006-67E1-41FC-B002-04606BEDCAD0}"/>
            </c:ext>
          </c:extLst>
        </c:ser>
        <c:ser>
          <c:idx val="7"/>
          <c:order val="7"/>
          <c:tx>
            <c:strRef>
              <c:f>'pivot tables'!$F$34</c:f>
              <c:strCache>
                <c:ptCount val="1"/>
                <c:pt idx="0">
                  <c:v>Pune-01</c:v>
                </c:pt>
              </c:strCache>
            </c:strRef>
          </c:tx>
          <c:spPr>
            <a:solidFill>
              <a:schemeClr val="accent2">
                <a:lumMod val="60000"/>
              </a:schemeClr>
            </a:solidFill>
            <a:ln>
              <a:noFill/>
            </a:ln>
            <a:effectLst/>
          </c:spPr>
          <c:invertIfNegative val="0"/>
          <c:dLbls>
            <c:spPr>
              <a:pattFill prst="pct5">
                <a:fgClr>
                  <a:schemeClr val="tx1">
                    <a:lumMod val="75000"/>
                    <a:lumOff val="25000"/>
                  </a:schemeClr>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tables'!$G$34</c:f>
              <c:numCache>
                <c:formatCode>0.0%</c:formatCode>
                <c:ptCount val="1"/>
                <c:pt idx="0">
                  <c:v>0.1</c:v>
                </c:pt>
              </c:numCache>
            </c:numRef>
          </c:val>
          <c:extLst>
            <c:ext xmlns:c16="http://schemas.microsoft.com/office/drawing/2014/chart" uri="{C3380CC4-5D6E-409C-BE32-E72D297353CC}">
              <c16:uniqueId val="{00000007-67E1-41FC-B002-04606BEDCAD0}"/>
            </c:ext>
          </c:extLst>
        </c:ser>
        <c:dLbls>
          <c:dLblPos val="inEnd"/>
          <c:showLegendKey val="0"/>
          <c:showVal val="1"/>
          <c:showCatName val="0"/>
          <c:showSerName val="0"/>
          <c:showPercent val="0"/>
          <c:showBubbleSize val="0"/>
        </c:dLbls>
        <c:gapWidth val="219"/>
        <c:axId val="68160447"/>
        <c:axId val="68162847"/>
      </c:barChart>
      <c:catAx>
        <c:axId val="68160447"/>
        <c:scaling>
          <c:orientation val="minMax"/>
        </c:scaling>
        <c:delete val="1"/>
        <c:axPos val="b"/>
        <c:numFmt formatCode="General" sourceLinked="1"/>
        <c:majorTickMark val="none"/>
        <c:minorTickMark val="none"/>
        <c:tickLblPos val="nextTo"/>
        <c:crossAx val="68162847"/>
        <c:crosses val="autoZero"/>
        <c:auto val="1"/>
        <c:lblAlgn val="ctr"/>
        <c:lblOffset val="100"/>
        <c:noMultiLvlLbl val="0"/>
      </c:catAx>
      <c:valAx>
        <c:axId val="68162847"/>
        <c:scaling>
          <c:orientation val="minMax"/>
        </c:scaling>
        <c:delete val="1"/>
        <c:axPos val="l"/>
        <c:numFmt formatCode="0.0%" sourceLinked="1"/>
        <c:majorTickMark val="none"/>
        <c:minorTickMark val="none"/>
        <c:tickLblPos val="nextTo"/>
        <c:crossAx val="6816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747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(2).xlsx]pivot tables!PivotTable29</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BRANCH WISE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2"/>
          </a:solidFill>
          <a:ln>
            <a:noFill/>
          </a:ln>
          <a:effectLst/>
        </c:spPr>
        <c:marker>
          <c:symbol val="none"/>
        </c:marker>
      </c:pivotFmt>
      <c:pivotFmt>
        <c:idx val="18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tables'!$B$178</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tables'!$A$179:$A$187</c:f>
              <c:strCache>
                <c:ptCount val="8"/>
                <c:pt idx="0">
                  <c:v>Bengaluru-01</c:v>
                </c:pt>
                <c:pt idx="1">
                  <c:v>Bhubaneswar-01</c:v>
                </c:pt>
                <c:pt idx="2">
                  <c:v>Chennai-01</c:v>
                </c:pt>
                <c:pt idx="3">
                  <c:v>Delhi-01</c:v>
                </c:pt>
                <c:pt idx="4">
                  <c:v>Kolkata-01</c:v>
                </c:pt>
                <c:pt idx="5">
                  <c:v>Lucknow-01</c:v>
                </c:pt>
                <c:pt idx="6">
                  <c:v>Mumbai-01</c:v>
                </c:pt>
                <c:pt idx="7">
                  <c:v>Pune-01</c:v>
                </c:pt>
              </c:strCache>
            </c:strRef>
          </c:cat>
          <c:val>
            <c:numRef>
              <c:f>'pivot tables'!$B$179:$B$187</c:f>
              <c:numCache>
                <c:formatCode>General</c:formatCode>
                <c:ptCount val="8"/>
                <c:pt idx="0">
                  <c:v>437013</c:v>
                </c:pt>
                <c:pt idx="1">
                  <c:v>559662</c:v>
                </c:pt>
                <c:pt idx="2">
                  <c:v>364603</c:v>
                </c:pt>
                <c:pt idx="3">
                  <c:v>421154</c:v>
                </c:pt>
                <c:pt idx="4">
                  <c:v>570012</c:v>
                </c:pt>
                <c:pt idx="5">
                  <c:v>385297</c:v>
                </c:pt>
                <c:pt idx="6">
                  <c:v>509710</c:v>
                </c:pt>
                <c:pt idx="7">
                  <c:v>381305</c:v>
                </c:pt>
              </c:numCache>
            </c:numRef>
          </c:val>
          <c:extLst>
            <c:ext xmlns:c16="http://schemas.microsoft.com/office/drawing/2014/chart" uri="{C3380CC4-5D6E-409C-BE32-E72D297353CC}">
              <c16:uniqueId val="{00000000-7FDE-45EB-80D7-DB356AF186BB}"/>
            </c:ext>
          </c:extLst>
        </c:ser>
        <c:dLbls>
          <c:dLblPos val="outEnd"/>
          <c:showLegendKey val="0"/>
          <c:showVal val="1"/>
          <c:showCatName val="0"/>
          <c:showSerName val="0"/>
          <c:showPercent val="0"/>
          <c:showBubbleSize val="0"/>
        </c:dLbls>
        <c:gapWidth val="150"/>
        <c:axId val="184416479"/>
        <c:axId val="184407839"/>
      </c:barChart>
      <c:catAx>
        <c:axId val="1844164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07839"/>
        <c:crosses val="autoZero"/>
        <c:auto val="1"/>
        <c:lblAlgn val="ctr"/>
        <c:lblOffset val="100"/>
        <c:noMultiLvlLbl val="0"/>
      </c:catAx>
      <c:valAx>
        <c:axId val="184407839"/>
        <c:scaling>
          <c:orientation val="minMax"/>
        </c:scaling>
        <c:delete val="1"/>
        <c:axPos val="b"/>
        <c:numFmt formatCode="General" sourceLinked="1"/>
        <c:majorTickMark val="out"/>
        <c:minorTickMark val="none"/>
        <c:tickLblPos val="nextTo"/>
        <c:crossAx val="184416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747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(2).xlsx]pivot tables!PivotTable30</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INCOME</a:t>
            </a:r>
            <a:r>
              <a:rPr lang="en-US" sz="1200" b="1" baseline="0"/>
              <a:t> BY PRODUCT</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tables'!$A$192:$A$197</c:f>
              <c:strCache>
                <c:ptCount val="5"/>
                <c:pt idx="0">
                  <c:v>Business Loan</c:v>
                </c:pt>
                <c:pt idx="1">
                  <c:v>Gold Loan</c:v>
                </c:pt>
                <c:pt idx="2">
                  <c:v>Home Improvement Loan</c:v>
                </c:pt>
                <c:pt idx="3">
                  <c:v>Personal Loan</c:v>
                </c:pt>
                <c:pt idx="4">
                  <c:v>Vehicle Loan</c:v>
                </c:pt>
              </c:strCache>
            </c:strRef>
          </c:cat>
          <c:val>
            <c:numRef>
              <c:f>'pivot tables'!$B$192:$B$197</c:f>
              <c:numCache>
                <c:formatCode>General</c:formatCode>
                <c:ptCount val="5"/>
                <c:pt idx="0">
                  <c:v>1452248</c:v>
                </c:pt>
                <c:pt idx="1">
                  <c:v>159655</c:v>
                </c:pt>
                <c:pt idx="2">
                  <c:v>545144</c:v>
                </c:pt>
                <c:pt idx="3">
                  <c:v>584395</c:v>
                </c:pt>
                <c:pt idx="4">
                  <c:v>887314</c:v>
                </c:pt>
              </c:numCache>
            </c:numRef>
          </c:val>
          <c:extLst>
            <c:ext xmlns:c16="http://schemas.microsoft.com/office/drawing/2014/chart" uri="{C3380CC4-5D6E-409C-BE32-E72D297353CC}">
              <c16:uniqueId val="{00000000-91C9-4EBD-9744-FFD517DE09F8}"/>
            </c:ext>
          </c:extLst>
        </c:ser>
        <c:dLbls>
          <c:dLblPos val="outEnd"/>
          <c:showLegendKey val="0"/>
          <c:showVal val="1"/>
          <c:showCatName val="0"/>
          <c:showSerName val="0"/>
          <c:showPercent val="0"/>
          <c:showBubbleSize val="0"/>
        </c:dLbls>
        <c:gapWidth val="182"/>
        <c:axId val="387841887"/>
        <c:axId val="387858687"/>
      </c:barChart>
      <c:catAx>
        <c:axId val="38784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58687"/>
        <c:crosses val="autoZero"/>
        <c:auto val="1"/>
        <c:lblAlgn val="ctr"/>
        <c:lblOffset val="100"/>
        <c:noMultiLvlLbl val="0"/>
      </c:catAx>
      <c:valAx>
        <c:axId val="387858687"/>
        <c:scaling>
          <c:orientation val="minMax"/>
        </c:scaling>
        <c:delete val="1"/>
        <c:axPos val="b"/>
        <c:numFmt formatCode="General" sourceLinked="1"/>
        <c:majorTickMark val="none"/>
        <c:minorTickMark val="none"/>
        <c:tickLblPos val="nextTo"/>
        <c:crossAx val="387841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747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NUMBER</a:t>
            </a:r>
            <a:r>
              <a:rPr lang="en-IN" sz="1200" b="1" baseline="0"/>
              <a:t> OF OVERDUES OF BRANCHES</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tables'!$F$147:$F$154</c:f>
              <c:strCache>
                <c:ptCount val="8"/>
                <c:pt idx="0">
                  <c:v>Bengaluru-01</c:v>
                </c:pt>
                <c:pt idx="1">
                  <c:v>Bhubaneswar-01</c:v>
                </c:pt>
                <c:pt idx="2">
                  <c:v>Chennai-01</c:v>
                </c:pt>
                <c:pt idx="3">
                  <c:v>Delhi-01</c:v>
                </c:pt>
                <c:pt idx="4">
                  <c:v>Kolkata-01</c:v>
                </c:pt>
                <c:pt idx="5">
                  <c:v>Lucknow-01</c:v>
                </c:pt>
                <c:pt idx="6">
                  <c:v>Mumbai-01</c:v>
                </c:pt>
                <c:pt idx="7">
                  <c:v>Pune-01</c:v>
                </c:pt>
              </c:strCache>
            </c:strRef>
          </c:cat>
          <c:val>
            <c:numRef>
              <c:f>'pivot tables'!$G$147:$G$154</c:f>
              <c:numCache>
                <c:formatCode>General</c:formatCode>
                <c:ptCount val="8"/>
                <c:pt idx="0">
                  <c:v>5</c:v>
                </c:pt>
                <c:pt idx="1">
                  <c:v>6</c:v>
                </c:pt>
                <c:pt idx="2">
                  <c:v>5</c:v>
                </c:pt>
                <c:pt idx="3">
                  <c:v>3</c:v>
                </c:pt>
                <c:pt idx="4">
                  <c:v>4</c:v>
                </c:pt>
                <c:pt idx="5">
                  <c:v>5</c:v>
                </c:pt>
                <c:pt idx="6">
                  <c:v>5</c:v>
                </c:pt>
                <c:pt idx="7">
                  <c:v>4</c:v>
                </c:pt>
              </c:numCache>
            </c:numRef>
          </c:val>
          <c:extLst>
            <c:ext xmlns:c16="http://schemas.microsoft.com/office/drawing/2014/chart" uri="{C3380CC4-5D6E-409C-BE32-E72D297353CC}">
              <c16:uniqueId val="{00000000-26E8-405F-9810-2CCC5576DD24}"/>
            </c:ext>
          </c:extLst>
        </c:ser>
        <c:dLbls>
          <c:dLblPos val="outEnd"/>
          <c:showLegendKey val="0"/>
          <c:showVal val="1"/>
          <c:showCatName val="0"/>
          <c:showSerName val="0"/>
          <c:showPercent val="0"/>
          <c:showBubbleSize val="0"/>
        </c:dLbls>
        <c:gapWidth val="219"/>
        <c:overlap val="-27"/>
        <c:axId val="478298063"/>
        <c:axId val="478291343"/>
      </c:barChart>
      <c:catAx>
        <c:axId val="47829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291343"/>
        <c:crosses val="autoZero"/>
        <c:auto val="1"/>
        <c:lblAlgn val="ctr"/>
        <c:lblOffset val="100"/>
        <c:noMultiLvlLbl val="0"/>
      </c:catAx>
      <c:valAx>
        <c:axId val="478291343"/>
        <c:scaling>
          <c:orientation val="minMax"/>
        </c:scaling>
        <c:delete val="1"/>
        <c:axPos val="l"/>
        <c:numFmt formatCode="General" sourceLinked="1"/>
        <c:majorTickMark val="none"/>
        <c:minorTickMark val="none"/>
        <c:tickLblPos val="nextTo"/>
        <c:crossAx val="478298063"/>
        <c:crosses val="autoZero"/>
        <c:crossBetween val="between"/>
      </c:valAx>
      <c:spPr>
        <a:noFill/>
        <a:ln>
          <a:noFill/>
        </a:ln>
        <a:effectLst/>
      </c:spPr>
    </c:plotArea>
    <c:plotVisOnly val="1"/>
    <c:dispBlanksAs val="gap"/>
    <c:showDLblsOverMax val="0"/>
  </c:chart>
  <c:spPr>
    <a:solidFill>
      <a:srgbClr val="FF747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NPA%BY EMPLOYMENT TYPE</cx:v>
        </cx:txData>
      </cx:tx>
      <cx:txPr>
        <a:bodyPr spcFirstLastPara="1" vertOverflow="ellipsis" horzOverflow="overflow" wrap="square" lIns="0" tIns="0" rIns="0" bIns="0" anchor="ctr" anchorCtr="1"/>
        <a:lstStyle/>
        <a:p>
          <a:pPr algn="ctr" rtl="0">
            <a:defRPr sz="1000" b="1"/>
          </a:pPr>
          <a:r>
            <a:rPr lang="en-US" sz="1000" b="1" i="0" u="none" strike="noStrike" baseline="0">
              <a:solidFill>
                <a:sysClr val="windowText" lastClr="000000">
                  <a:lumMod val="65000"/>
                  <a:lumOff val="35000"/>
                </a:sysClr>
              </a:solidFill>
              <a:latin typeface="Calibri" panose="020F0502020204030204"/>
            </a:rPr>
            <a:t>NPA%BY EMPLOYMENT TYPE</a:t>
          </a:r>
        </a:p>
      </cx:txPr>
    </cx:title>
    <cx:plotArea>
      <cx:plotAreaRegion>
        <cx:series layoutId="funnel" uniqueId="{326A65AA-F364-4AEF-9727-2C691FCB1D2E}">
          <cx:dataLabels>
            <cx:visibility seriesName="0" categoryName="0" value="1"/>
          </cx:dataLabels>
          <cx:dataId val="0"/>
        </cx:series>
      </cx:plotAreaRegion>
      <cx:axis id="0">
        <cx:catScaling gapWidth="0.0599999987"/>
        <cx:tickLabels/>
      </cx:axis>
    </cx:plotArea>
  </cx:chart>
  <cx:spPr>
    <a:solidFill>
      <a:schemeClr val="accent6"/>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5" Type="http://schemas.openxmlformats.org/officeDocument/2006/relationships/chart" Target="../charts/chart8.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13</xdr:col>
      <xdr:colOff>49410</xdr:colOff>
      <xdr:row>76</xdr:row>
      <xdr:rowOff>95251</xdr:rowOff>
    </xdr:from>
    <xdr:to>
      <xdr:col>18</xdr:col>
      <xdr:colOff>546100</xdr:colOff>
      <xdr:row>82</xdr:row>
      <xdr:rowOff>88901</xdr:rowOff>
    </xdr:to>
    <xdr:graphicFrame macro="">
      <xdr:nvGraphicFramePr>
        <xdr:cNvPr id="5" name="Chart 4">
          <a:extLst>
            <a:ext uri="{FF2B5EF4-FFF2-40B4-BE49-F238E27FC236}">
              <a16:creationId xmlns:a16="http://schemas.microsoft.com/office/drawing/2014/main" id="{F604F374-34E2-E398-A7AD-A0F530ED9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288726</xdr:colOff>
      <xdr:row>92</xdr:row>
      <xdr:rowOff>86915</xdr:rowOff>
    </xdr:from>
    <xdr:to>
      <xdr:col>8</xdr:col>
      <xdr:colOff>380999</xdr:colOff>
      <xdr:row>104</xdr:row>
      <xdr:rowOff>142875</xdr:rowOff>
    </xdr:to>
    <xdr:graphicFrame macro="">
      <xdr:nvGraphicFramePr>
        <xdr:cNvPr id="6" name="Chart 5">
          <a:extLst>
            <a:ext uri="{FF2B5EF4-FFF2-40B4-BE49-F238E27FC236}">
              <a16:creationId xmlns:a16="http://schemas.microsoft.com/office/drawing/2014/main" id="{1E90D936-58A7-D550-78A3-D31DF26AA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235149</xdr:colOff>
      <xdr:row>106</xdr:row>
      <xdr:rowOff>92868</xdr:rowOff>
    </xdr:from>
    <xdr:to>
      <xdr:col>8</xdr:col>
      <xdr:colOff>244079</xdr:colOff>
      <xdr:row>118</xdr:row>
      <xdr:rowOff>0</xdr:rowOff>
    </xdr:to>
    <xdr:graphicFrame macro="">
      <xdr:nvGraphicFramePr>
        <xdr:cNvPr id="9" name="Chart 8">
          <a:extLst>
            <a:ext uri="{FF2B5EF4-FFF2-40B4-BE49-F238E27FC236}">
              <a16:creationId xmlns:a16="http://schemas.microsoft.com/office/drawing/2014/main" id="{59054535-E63B-D71C-8ADE-939261B06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340591</xdr:colOff>
      <xdr:row>120</xdr:row>
      <xdr:rowOff>68880</xdr:rowOff>
    </xdr:from>
    <xdr:to>
      <xdr:col>7</xdr:col>
      <xdr:colOff>430509</xdr:colOff>
      <xdr:row>132</xdr:row>
      <xdr:rowOff>51660</xdr:rowOff>
    </xdr:to>
    <xdr:graphicFrame macro="">
      <xdr:nvGraphicFramePr>
        <xdr:cNvPr id="10" name="Chart 9">
          <a:extLst>
            <a:ext uri="{FF2B5EF4-FFF2-40B4-BE49-F238E27FC236}">
              <a16:creationId xmlns:a16="http://schemas.microsoft.com/office/drawing/2014/main" id="{A601E48E-2DA4-26B8-1B00-9874E7F7A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34954</xdr:colOff>
      <xdr:row>4</xdr:row>
      <xdr:rowOff>20972</xdr:rowOff>
    </xdr:from>
    <xdr:to>
      <xdr:col>5</xdr:col>
      <xdr:colOff>342122</xdr:colOff>
      <xdr:row>14</xdr:row>
      <xdr:rowOff>146806</xdr:rowOff>
    </xdr:to>
    <xdr:graphicFrame macro="">
      <xdr:nvGraphicFramePr>
        <xdr:cNvPr id="2" name="Chart 1">
          <a:extLst>
            <a:ext uri="{FF2B5EF4-FFF2-40B4-BE49-F238E27FC236}">
              <a16:creationId xmlns:a16="http://schemas.microsoft.com/office/drawing/2014/main" id="{F79F3D85-3ED0-4D93-AE01-09302EC12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20972</xdr:colOff>
      <xdr:row>15</xdr:row>
      <xdr:rowOff>13981</xdr:rowOff>
    </xdr:from>
    <xdr:to>
      <xdr:col>6</xdr:col>
      <xdr:colOff>146807</xdr:colOff>
      <xdr:row>25</xdr:row>
      <xdr:rowOff>21167</xdr:rowOff>
    </xdr:to>
    <xdr:graphicFrame macro="">
      <xdr:nvGraphicFramePr>
        <xdr:cNvPr id="4" name="Chart 3">
          <a:extLst>
            <a:ext uri="{FF2B5EF4-FFF2-40B4-BE49-F238E27FC236}">
              <a16:creationId xmlns:a16="http://schemas.microsoft.com/office/drawing/2014/main" id="{AD099167-4989-472A-AAE7-D72DA745B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203046</xdr:colOff>
      <xdr:row>4</xdr:row>
      <xdr:rowOff>43580</xdr:rowOff>
    </xdr:from>
    <xdr:to>
      <xdr:col>16</xdr:col>
      <xdr:colOff>4436</xdr:colOff>
      <xdr:row>14</xdr:row>
      <xdr:rowOff>119944</xdr:rowOff>
    </xdr:to>
    <xdr:graphicFrame macro="">
      <xdr:nvGraphicFramePr>
        <xdr:cNvPr id="5" name="Chart 4">
          <a:extLst>
            <a:ext uri="{FF2B5EF4-FFF2-40B4-BE49-F238E27FC236}">
              <a16:creationId xmlns:a16="http://schemas.microsoft.com/office/drawing/2014/main" id="{385DFAC9-115D-4954-BD72-D06DA4A05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174771</xdr:colOff>
      <xdr:row>15</xdr:row>
      <xdr:rowOff>13981</xdr:rowOff>
    </xdr:from>
    <xdr:to>
      <xdr:col>11</xdr:col>
      <xdr:colOff>405469</xdr:colOff>
      <xdr:row>24</xdr:row>
      <xdr:rowOff>181761</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70648D4A-4514-479B-97C9-6FFA506E56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32371" y="2757181"/>
              <a:ext cx="3278698" cy="1813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368089</xdr:colOff>
      <xdr:row>4</xdr:row>
      <xdr:rowOff>20188</xdr:rowOff>
    </xdr:from>
    <xdr:to>
      <xdr:col>11</xdr:col>
      <xdr:colOff>179337</xdr:colOff>
      <xdr:row>14</xdr:row>
      <xdr:rowOff>160005</xdr:rowOff>
    </xdr:to>
    <xdr:graphicFrame macro="">
      <xdr:nvGraphicFramePr>
        <xdr:cNvPr id="7" name="Chart 6">
          <a:extLst>
            <a:ext uri="{FF2B5EF4-FFF2-40B4-BE49-F238E27FC236}">
              <a16:creationId xmlns:a16="http://schemas.microsoft.com/office/drawing/2014/main" id="{3534BF1C-FD80-47B5-BB22-8560171E0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440487</xdr:colOff>
      <xdr:row>14</xdr:row>
      <xdr:rowOff>154185</xdr:rowOff>
    </xdr:from>
    <xdr:to>
      <xdr:col>16</xdr:col>
      <xdr:colOff>475442</xdr:colOff>
      <xdr:row>25</xdr:row>
      <xdr:rowOff>19679</xdr:rowOff>
    </xdr:to>
    <xdr:graphicFrame macro="">
      <xdr:nvGraphicFramePr>
        <xdr:cNvPr id="8" name="Chart 7">
          <a:extLst>
            <a:ext uri="{FF2B5EF4-FFF2-40B4-BE49-F238E27FC236}">
              <a16:creationId xmlns:a16="http://schemas.microsoft.com/office/drawing/2014/main" id="{1202DC49-033B-456A-9846-CCF9AF601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38734</xdr:colOff>
      <xdr:row>4</xdr:row>
      <xdr:rowOff>44297</xdr:rowOff>
    </xdr:from>
    <xdr:to>
      <xdr:col>20</xdr:col>
      <xdr:colOff>575318</xdr:colOff>
      <xdr:row>14</xdr:row>
      <xdr:rowOff>86244</xdr:rowOff>
    </xdr:to>
    <xdr:graphicFrame macro="">
      <xdr:nvGraphicFramePr>
        <xdr:cNvPr id="9" name="Chart 8">
          <a:extLst>
            <a:ext uri="{FF2B5EF4-FFF2-40B4-BE49-F238E27FC236}">
              <a16:creationId xmlns:a16="http://schemas.microsoft.com/office/drawing/2014/main" id="{1EC10A9A-13DB-4002-8597-51092EA75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107145</xdr:colOff>
      <xdr:row>14</xdr:row>
      <xdr:rowOff>100225</xdr:rowOff>
    </xdr:from>
    <xdr:to>
      <xdr:col>21</xdr:col>
      <xdr:colOff>2282</xdr:colOff>
      <xdr:row>25</xdr:row>
      <xdr:rowOff>35278</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2370E010-42EF-4A7B-8DA8-10757939B3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35923" y="2668447"/>
              <a:ext cx="1108692" cy="1952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503338</xdr:colOff>
      <xdr:row>14</xdr:row>
      <xdr:rowOff>104860</xdr:rowOff>
    </xdr:from>
    <xdr:to>
      <xdr:col>19</xdr:col>
      <xdr:colOff>97870</xdr:colOff>
      <xdr:row>25</xdr:row>
      <xdr:rowOff>0</xdr:rowOff>
    </xdr:to>
    <mc:AlternateContent xmlns:mc="http://schemas.openxmlformats.org/markup-compatibility/2006" xmlns:a14="http://schemas.microsoft.com/office/drawing/2010/main">
      <mc:Choice Requires="a14">
        <xdr:graphicFrame macro="">
          <xdr:nvGraphicFramePr>
            <xdr:cNvPr id="11" name="LoanProduct">
              <a:extLst>
                <a:ext uri="{FF2B5EF4-FFF2-40B4-BE49-F238E27FC236}">
                  <a16:creationId xmlns:a16="http://schemas.microsoft.com/office/drawing/2014/main" id="{E4CFC4C3-5D87-437D-B132-6FC5FF56B2F6}"/>
                </a:ext>
              </a:extLst>
            </xdr:cNvPr>
            <xdr:cNvGraphicFramePr/>
          </xdr:nvGraphicFramePr>
          <xdr:xfrm>
            <a:off x="0" y="0"/>
            <a:ext cx="0" cy="0"/>
          </xdr:xfrm>
          <a:graphic>
            <a:graphicData uri="http://schemas.microsoft.com/office/drawing/2010/slicer">
              <sle:slicer xmlns:sle="http://schemas.microsoft.com/office/drawing/2010/slicer" name="LoanProduct"/>
            </a:graphicData>
          </a:graphic>
        </xdr:graphicFrame>
      </mc:Choice>
      <mc:Fallback xmlns="">
        <xdr:sp macro="" textlink="">
          <xdr:nvSpPr>
            <xdr:cNvPr id="0" name=""/>
            <xdr:cNvSpPr>
              <a:spLocks noTextEdit="1"/>
            </xdr:cNvSpPr>
          </xdr:nvSpPr>
          <xdr:spPr>
            <a:xfrm>
              <a:off x="10234567" y="2649521"/>
              <a:ext cx="1419138" cy="1852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97871</xdr:colOff>
      <xdr:row>0</xdr:row>
      <xdr:rowOff>41944</xdr:rowOff>
    </xdr:from>
    <xdr:to>
      <xdr:col>11</xdr:col>
      <xdr:colOff>286623</xdr:colOff>
      <xdr:row>3</xdr:row>
      <xdr:rowOff>167777</xdr:rowOff>
    </xdr:to>
    <xdr:sp macro="" textlink="">
      <xdr:nvSpPr>
        <xdr:cNvPr id="14" name="Rectangle: Rounded Corners 13">
          <a:extLst>
            <a:ext uri="{FF2B5EF4-FFF2-40B4-BE49-F238E27FC236}">
              <a16:creationId xmlns:a16="http://schemas.microsoft.com/office/drawing/2014/main" id="{C85E3F3A-8558-25A3-7468-BED5DAB916DA}"/>
            </a:ext>
          </a:extLst>
        </xdr:cNvPr>
        <xdr:cNvSpPr/>
      </xdr:nvSpPr>
      <xdr:spPr>
        <a:xfrm>
          <a:off x="3138880" y="41944"/>
          <a:ext cx="3837963" cy="6711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SUVIDHA FINANCE RISK ANALYSIS</a:t>
          </a:r>
        </a:p>
      </xdr:txBody>
    </xdr:sp>
    <xdr:clientData/>
  </xdr:twoCellAnchor>
  <xdr:twoCellAnchor>
    <xdr:from>
      <xdr:col>0</xdr:col>
      <xdr:colOff>69909</xdr:colOff>
      <xdr:row>0</xdr:row>
      <xdr:rowOff>55927</xdr:rowOff>
    </xdr:from>
    <xdr:to>
      <xdr:col>2</xdr:col>
      <xdr:colOff>279633</xdr:colOff>
      <xdr:row>3</xdr:row>
      <xdr:rowOff>146808</xdr:rowOff>
    </xdr:to>
    <xdr:grpSp>
      <xdr:nvGrpSpPr>
        <xdr:cNvPr id="3" name="Group 2">
          <a:extLst>
            <a:ext uri="{FF2B5EF4-FFF2-40B4-BE49-F238E27FC236}">
              <a16:creationId xmlns:a16="http://schemas.microsoft.com/office/drawing/2014/main" id="{B466070E-92C2-3C72-51A7-471BD2570ECF}"/>
            </a:ext>
          </a:extLst>
        </xdr:cNvPr>
        <xdr:cNvGrpSpPr/>
      </xdr:nvGrpSpPr>
      <xdr:grpSpPr>
        <a:xfrm>
          <a:off x="69909" y="55927"/>
          <a:ext cx="1423280" cy="641214"/>
          <a:chOff x="20973" y="62918"/>
          <a:chExt cx="1426128" cy="636165"/>
        </a:xfrm>
      </xdr:grpSpPr>
      <xdr:sp macro="" textlink="">
        <xdr:nvSpPr>
          <xdr:cNvPr id="12" name="Rectangle: Rounded Corners 11">
            <a:extLst>
              <a:ext uri="{FF2B5EF4-FFF2-40B4-BE49-F238E27FC236}">
                <a16:creationId xmlns:a16="http://schemas.microsoft.com/office/drawing/2014/main" id="{49BF6AC5-546A-D0D5-51F8-B4507899BD40}"/>
              </a:ext>
            </a:extLst>
          </xdr:cNvPr>
          <xdr:cNvSpPr/>
        </xdr:nvSpPr>
        <xdr:spPr>
          <a:xfrm>
            <a:off x="20973" y="62918"/>
            <a:ext cx="1426128" cy="6361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 LOAN</a:t>
            </a:r>
          </a:p>
        </xdr:txBody>
      </xdr:sp>
      <xdr:sp macro="" textlink="'pivot tables'!F139">
        <xdr:nvSpPr>
          <xdr:cNvPr id="21" name="Rectangle 20">
            <a:extLst>
              <a:ext uri="{FF2B5EF4-FFF2-40B4-BE49-F238E27FC236}">
                <a16:creationId xmlns:a16="http://schemas.microsoft.com/office/drawing/2014/main" id="{88ABBED4-3AB2-C140-2B71-47D85BF1B22F}"/>
              </a:ext>
            </a:extLst>
          </xdr:cNvPr>
          <xdr:cNvSpPr/>
        </xdr:nvSpPr>
        <xdr:spPr>
          <a:xfrm>
            <a:off x="349542" y="377505"/>
            <a:ext cx="817926" cy="25866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9540FEED-D6F5-4AA2-8943-6A705E7DE7A5}" type="TxLink">
              <a:rPr lang="en-US" sz="1600" b="1" i="0" u="none" strike="noStrike">
                <a:solidFill>
                  <a:srgbClr val="000000"/>
                </a:solidFill>
                <a:latin typeface="Calibri"/>
                <a:ea typeface="Calibri"/>
                <a:cs typeface="Calibri"/>
              </a:rPr>
              <a:pPr algn="ctr"/>
              <a:t>200</a:t>
            </a:fld>
            <a:endParaRPr lang="en-IN" sz="1600" b="1"/>
          </a:p>
        </xdr:txBody>
      </xdr:sp>
    </xdr:grpSp>
    <xdr:clientData/>
  </xdr:twoCellAnchor>
  <xdr:twoCellAnchor>
    <xdr:from>
      <xdr:col>2</xdr:col>
      <xdr:colOff>314588</xdr:colOff>
      <xdr:row>0</xdr:row>
      <xdr:rowOff>55927</xdr:rowOff>
    </xdr:from>
    <xdr:to>
      <xdr:col>5</xdr:col>
      <xdr:colOff>76899</xdr:colOff>
      <xdr:row>3</xdr:row>
      <xdr:rowOff>160790</xdr:rowOff>
    </xdr:to>
    <xdr:grpSp>
      <xdr:nvGrpSpPr>
        <xdr:cNvPr id="18" name="Group 17">
          <a:extLst>
            <a:ext uri="{FF2B5EF4-FFF2-40B4-BE49-F238E27FC236}">
              <a16:creationId xmlns:a16="http://schemas.microsoft.com/office/drawing/2014/main" id="{D4C8D6F1-3FD7-ACDD-3C02-375D244989B3}"/>
            </a:ext>
          </a:extLst>
        </xdr:cNvPr>
        <xdr:cNvGrpSpPr/>
      </xdr:nvGrpSpPr>
      <xdr:grpSpPr>
        <a:xfrm>
          <a:off x="1528144" y="55927"/>
          <a:ext cx="1582644" cy="655196"/>
          <a:chOff x="1530992" y="55927"/>
          <a:chExt cx="1586916" cy="650147"/>
        </a:xfrm>
      </xdr:grpSpPr>
      <xdr:sp macro="" textlink="">
        <xdr:nvSpPr>
          <xdr:cNvPr id="13" name="Rectangle: Rounded Corners 12">
            <a:extLst>
              <a:ext uri="{FF2B5EF4-FFF2-40B4-BE49-F238E27FC236}">
                <a16:creationId xmlns:a16="http://schemas.microsoft.com/office/drawing/2014/main" id="{98F8D490-587F-7A34-A469-B1AE21FCEB68}"/>
              </a:ext>
            </a:extLst>
          </xdr:cNvPr>
          <xdr:cNvSpPr/>
        </xdr:nvSpPr>
        <xdr:spPr>
          <a:xfrm>
            <a:off x="1530992" y="55927"/>
            <a:ext cx="1586916" cy="650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NPA%</a:t>
            </a:r>
          </a:p>
        </xdr:txBody>
      </xdr:sp>
      <xdr:sp macro="" textlink="'pivot tables'!I29">
        <xdr:nvSpPr>
          <xdr:cNvPr id="22" name="Rectangle 21">
            <a:extLst>
              <a:ext uri="{FF2B5EF4-FFF2-40B4-BE49-F238E27FC236}">
                <a16:creationId xmlns:a16="http://schemas.microsoft.com/office/drawing/2014/main" id="{4F8D066F-9CB2-A2A9-E115-3D89B4D881DA}"/>
              </a:ext>
            </a:extLst>
          </xdr:cNvPr>
          <xdr:cNvSpPr/>
        </xdr:nvSpPr>
        <xdr:spPr>
          <a:xfrm>
            <a:off x="1740716" y="356532"/>
            <a:ext cx="1118532" cy="27264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BC526413-8599-4E26-A90B-46CE62060BAD}" type="TxLink">
              <a:rPr lang="en-US" sz="1600" b="1" i="0" u="none" strike="noStrike">
                <a:solidFill>
                  <a:srgbClr val="000000"/>
                </a:solidFill>
                <a:latin typeface="Calibri"/>
                <a:ea typeface="Calibri"/>
                <a:cs typeface="Calibri"/>
              </a:rPr>
              <a:pPr algn="ctr"/>
              <a:t>8.00%</a:t>
            </a:fld>
            <a:endParaRPr lang="en-IN" sz="1600" b="1"/>
          </a:p>
        </xdr:txBody>
      </xdr:sp>
    </xdr:grpSp>
    <xdr:clientData/>
  </xdr:twoCellAnchor>
  <xdr:twoCellAnchor>
    <xdr:from>
      <xdr:col>11</xdr:col>
      <xdr:colOff>328567</xdr:colOff>
      <xdr:row>0</xdr:row>
      <xdr:rowOff>41945</xdr:rowOff>
    </xdr:from>
    <xdr:to>
      <xdr:col>14</xdr:col>
      <xdr:colOff>489356</xdr:colOff>
      <xdr:row>3</xdr:row>
      <xdr:rowOff>167780</xdr:rowOff>
    </xdr:to>
    <xdr:grpSp>
      <xdr:nvGrpSpPr>
        <xdr:cNvPr id="19" name="Group 18">
          <a:extLst>
            <a:ext uri="{FF2B5EF4-FFF2-40B4-BE49-F238E27FC236}">
              <a16:creationId xmlns:a16="http://schemas.microsoft.com/office/drawing/2014/main" id="{33F20F4D-7FA9-1473-A3C0-AD057A20232B}"/>
            </a:ext>
          </a:extLst>
        </xdr:cNvPr>
        <xdr:cNvGrpSpPr/>
      </xdr:nvGrpSpPr>
      <xdr:grpSpPr>
        <a:xfrm>
          <a:off x="7003123" y="41945"/>
          <a:ext cx="1981122" cy="676168"/>
          <a:chOff x="7018787" y="41945"/>
          <a:chExt cx="1985395" cy="671119"/>
        </a:xfrm>
      </xdr:grpSpPr>
      <xdr:sp macro="" textlink="">
        <xdr:nvSpPr>
          <xdr:cNvPr id="15" name="Rectangle: Rounded Corners 14">
            <a:extLst>
              <a:ext uri="{FF2B5EF4-FFF2-40B4-BE49-F238E27FC236}">
                <a16:creationId xmlns:a16="http://schemas.microsoft.com/office/drawing/2014/main" id="{E3CBD328-CCFA-CF2D-865D-F6E02928FCA2}"/>
              </a:ext>
            </a:extLst>
          </xdr:cNvPr>
          <xdr:cNvSpPr/>
        </xdr:nvSpPr>
        <xdr:spPr>
          <a:xfrm>
            <a:off x="7018787" y="41945"/>
            <a:ext cx="1985395" cy="6711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t>LOAN AMOUNT</a:t>
            </a:r>
            <a:endParaRPr lang="en-IN" sz="1400" b="1"/>
          </a:p>
        </xdr:txBody>
      </xdr:sp>
      <xdr:sp macro="" textlink="'pivot tables'!J4">
        <xdr:nvSpPr>
          <xdr:cNvPr id="23" name="Rectangle 22">
            <a:extLst>
              <a:ext uri="{FF2B5EF4-FFF2-40B4-BE49-F238E27FC236}">
                <a16:creationId xmlns:a16="http://schemas.microsoft.com/office/drawing/2014/main" id="{2768E041-9220-A3DD-7882-43A70A6397DD}"/>
              </a:ext>
            </a:extLst>
          </xdr:cNvPr>
          <xdr:cNvSpPr/>
        </xdr:nvSpPr>
        <xdr:spPr>
          <a:xfrm>
            <a:off x="7207541" y="363523"/>
            <a:ext cx="1544973" cy="27963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C47A7B4E-EE93-4731-A21A-01BC7F0D7906}" type="TxLink">
              <a:rPr lang="en-US" sz="1400" b="1" i="0" u="none" strike="noStrike">
                <a:solidFill>
                  <a:srgbClr val="000000"/>
                </a:solidFill>
                <a:latin typeface="Calibri"/>
                <a:ea typeface="Calibri"/>
                <a:cs typeface="Calibri"/>
              </a:rPr>
              <a:pPr algn="ctr"/>
              <a:t>109375000</a:t>
            </a:fld>
            <a:endParaRPr lang="en-IN" sz="1100" b="1"/>
          </a:p>
        </xdr:txBody>
      </xdr:sp>
    </xdr:grpSp>
    <xdr:clientData/>
  </xdr:twoCellAnchor>
  <xdr:twoCellAnchor>
    <xdr:from>
      <xdr:col>14</xdr:col>
      <xdr:colOff>511826</xdr:colOff>
      <xdr:row>0</xdr:row>
      <xdr:rowOff>35739</xdr:rowOff>
    </xdr:from>
    <xdr:to>
      <xdr:col>18</xdr:col>
      <xdr:colOff>197241</xdr:colOff>
      <xdr:row>3</xdr:row>
      <xdr:rowOff>154583</xdr:rowOff>
    </xdr:to>
    <xdr:grpSp>
      <xdr:nvGrpSpPr>
        <xdr:cNvPr id="20" name="Group 19">
          <a:extLst>
            <a:ext uri="{FF2B5EF4-FFF2-40B4-BE49-F238E27FC236}">
              <a16:creationId xmlns:a16="http://schemas.microsoft.com/office/drawing/2014/main" id="{093CFF80-A3EB-3F5D-1A84-E7886D5654C4}"/>
            </a:ext>
          </a:extLst>
        </xdr:cNvPr>
        <xdr:cNvGrpSpPr/>
      </xdr:nvGrpSpPr>
      <xdr:grpSpPr>
        <a:xfrm>
          <a:off x="9006715" y="35739"/>
          <a:ext cx="2112526" cy="669177"/>
          <a:chOff x="9026475" y="35572"/>
          <a:chExt cx="2118222" cy="664128"/>
        </a:xfrm>
      </xdr:grpSpPr>
      <xdr:sp macro="" textlink="">
        <xdr:nvSpPr>
          <xdr:cNvPr id="16" name="Rectangle: Rounded Corners 15">
            <a:extLst>
              <a:ext uri="{FF2B5EF4-FFF2-40B4-BE49-F238E27FC236}">
                <a16:creationId xmlns:a16="http://schemas.microsoft.com/office/drawing/2014/main" id="{3923E9FB-764D-A7D6-63D0-985A9728BE3D}"/>
              </a:ext>
            </a:extLst>
          </xdr:cNvPr>
          <xdr:cNvSpPr/>
        </xdr:nvSpPr>
        <xdr:spPr>
          <a:xfrm>
            <a:off x="9026475" y="35572"/>
            <a:ext cx="2118222" cy="6641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OUTSTANTING BALANCE</a:t>
            </a:r>
          </a:p>
        </xdr:txBody>
      </xdr:sp>
      <xdr:sp macro="" textlink="'pivot tables'!F17">
        <xdr:nvSpPr>
          <xdr:cNvPr id="24" name="Rectangle 23">
            <a:extLst>
              <a:ext uri="{FF2B5EF4-FFF2-40B4-BE49-F238E27FC236}">
                <a16:creationId xmlns:a16="http://schemas.microsoft.com/office/drawing/2014/main" id="{134D7084-CE0B-63D7-588E-9C7E80DE746E}"/>
              </a:ext>
            </a:extLst>
          </xdr:cNvPr>
          <xdr:cNvSpPr/>
        </xdr:nvSpPr>
        <xdr:spPr>
          <a:xfrm>
            <a:off x="9409652" y="349541"/>
            <a:ext cx="1530992" cy="27264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223220A8-A67E-446F-8F17-3FF9D27DB9C5}" type="TxLink">
              <a:rPr lang="en-US" sz="1400" b="1" i="0" u="none" strike="noStrike">
                <a:solidFill>
                  <a:srgbClr val="000000"/>
                </a:solidFill>
                <a:latin typeface="Calibri"/>
                <a:ea typeface="Calibri"/>
                <a:cs typeface="Calibri"/>
              </a:rPr>
              <a:pPr algn="ctr"/>
              <a:t>99301530</a:t>
            </a:fld>
            <a:endParaRPr lang="en-IN" sz="1100" b="1"/>
          </a:p>
        </xdr:txBody>
      </xdr:sp>
    </xdr:grpSp>
    <xdr:clientData/>
  </xdr:twoCellAnchor>
  <xdr:twoCellAnchor>
    <xdr:from>
      <xdr:col>18</xdr:col>
      <xdr:colOff>183188</xdr:colOff>
      <xdr:row>0</xdr:row>
      <xdr:rowOff>41946</xdr:rowOff>
    </xdr:from>
    <xdr:to>
      <xdr:col>21</xdr:col>
      <xdr:colOff>36382</xdr:colOff>
      <xdr:row>3</xdr:row>
      <xdr:rowOff>146807</xdr:rowOff>
    </xdr:to>
    <xdr:grpSp>
      <xdr:nvGrpSpPr>
        <xdr:cNvPr id="26" name="Group 25">
          <a:extLst>
            <a:ext uri="{FF2B5EF4-FFF2-40B4-BE49-F238E27FC236}">
              <a16:creationId xmlns:a16="http://schemas.microsoft.com/office/drawing/2014/main" id="{91D0F5EF-3B5B-9E92-DA34-0FFE2FE9371D}"/>
            </a:ext>
          </a:extLst>
        </xdr:cNvPr>
        <xdr:cNvGrpSpPr/>
      </xdr:nvGrpSpPr>
      <xdr:grpSpPr>
        <a:xfrm>
          <a:off x="11105188" y="41946"/>
          <a:ext cx="1673527" cy="655194"/>
          <a:chOff x="11255229" y="41946"/>
          <a:chExt cx="1677800" cy="650145"/>
        </a:xfrm>
      </xdr:grpSpPr>
      <xdr:sp macro="" textlink="">
        <xdr:nvSpPr>
          <xdr:cNvPr id="17" name="Rectangle: Rounded Corners 16">
            <a:extLst>
              <a:ext uri="{FF2B5EF4-FFF2-40B4-BE49-F238E27FC236}">
                <a16:creationId xmlns:a16="http://schemas.microsoft.com/office/drawing/2014/main" id="{1F4075B5-07E3-F033-E074-CD90E6C58AA1}"/>
              </a:ext>
            </a:extLst>
          </xdr:cNvPr>
          <xdr:cNvSpPr/>
        </xdr:nvSpPr>
        <xdr:spPr>
          <a:xfrm>
            <a:off x="11255229" y="41946"/>
            <a:ext cx="1677800" cy="6501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OVERDUE</a:t>
            </a:r>
          </a:p>
        </xdr:txBody>
      </xdr:sp>
      <xdr:sp macro="" textlink="'pivot tables'!H43">
        <xdr:nvSpPr>
          <xdr:cNvPr id="25" name="Rectangle 24">
            <a:extLst>
              <a:ext uri="{FF2B5EF4-FFF2-40B4-BE49-F238E27FC236}">
                <a16:creationId xmlns:a16="http://schemas.microsoft.com/office/drawing/2014/main" id="{AEDF5D2B-AA14-2963-FD76-C4704D6696B0}"/>
              </a:ext>
            </a:extLst>
          </xdr:cNvPr>
          <xdr:cNvSpPr/>
        </xdr:nvSpPr>
        <xdr:spPr>
          <a:xfrm>
            <a:off x="11681668" y="363523"/>
            <a:ext cx="887835" cy="223707"/>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8C2FC636-E43D-4DBA-962A-DBE47601A726}" type="TxLink">
              <a:rPr lang="en-US" sz="1400" b="1" i="0" u="none" strike="noStrike">
                <a:solidFill>
                  <a:srgbClr val="000000"/>
                </a:solidFill>
                <a:latin typeface="Calibri"/>
                <a:ea typeface="Calibri"/>
                <a:cs typeface="Calibri"/>
              </a:rPr>
              <a:pPr algn="ctr"/>
              <a:t>18.5%</a:t>
            </a:fld>
            <a:endParaRPr lang="en-IN" sz="1100" b="1"/>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12962</xdr:colOff>
      <xdr:row>4</xdr:row>
      <xdr:rowOff>15240</xdr:rowOff>
    </xdr:from>
    <xdr:to>
      <xdr:col>4</xdr:col>
      <xdr:colOff>553982</xdr:colOff>
      <xdr:row>14</xdr:row>
      <xdr:rowOff>30480</xdr:rowOff>
    </xdr:to>
    <xdr:graphicFrame macro="">
      <xdr:nvGraphicFramePr>
        <xdr:cNvPr id="2" name="Chart 1">
          <a:extLst>
            <a:ext uri="{FF2B5EF4-FFF2-40B4-BE49-F238E27FC236}">
              <a16:creationId xmlns:a16="http://schemas.microsoft.com/office/drawing/2014/main" id="{6D533BC0-B34D-4821-B25A-1221D38CD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377583</xdr:colOff>
      <xdr:row>4</xdr:row>
      <xdr:rowOff>15240</xdr:rowOff>
    </xdr:from>
    <xdr:to>
      <xdr:col>15</xdr:col>
      <xdr:colOff>392823</xdr:colOff>
      <xdr:row>14</xdr:row>
      <xdr:rowOff>30480</xdr:rowOff>
    </xdr:to>
    <xdr:graphicFrame macro="">
      <xdr:nvGraphicFramePr>
        <xdr:cNvPr id="6" name="Chart 5">
          <a:extLst>
            <a:ext uri="{FF2B5EF4-FFF2-40B4-BE49-F238E27FC236}">
              <a16:creationId xmlns:a16="http://schemas.microsoft.com/office/drawing/2014/main" id="{30FE204E-0D89-4674-9680-E79FAFCA7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594447</xdr:colOff>
      <xdr:row>4</xdr:row>
      <xdr:rowOff>22860</xdr:rowOff>
    </xdr:from>
    <xdr:to>
      <xdr:col>9</xdr:col>
      <xdr:colOff>340880</xdr:colOff>
      <xdr:row>14</xdr:row>
      <xdr:rowOff>22860</xdr:rowOff>
    </xdr:to>
    <xdr:graphicFrame macro="">
      <xdr:nvGraphicFramePr>
        <xdr:cNvPr id="7" name="Chart 6">
          <a:extLst>
            <a:ext uri="{FF2B5EF4-FFF2-40B4-BE49-F238E27FC236}">
              <a16:creationId xmlns:a16="http://schemas.microsoft.com/office/drawing/2014/main" id="{76B1EBF0-8580-441B-BD0A-204BD1373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14</xdr:row>
      <xdr:rowOff>76200</xdr:rowOff>
    </xdr:from>
    <xdr:to>
      <xdr:col>4</xdr:col>
      <xdr:colOff>396240</xdr:colOff>
      <xdr:row>27</xdr:row>
      <xdr:rowOff>54610</xdr:rowOff>
    </xdr:to>
    <xdr:graphicFrame macro="">
      <xdr:nvGraphicFramePr>
        <xdr:cNvPr id="8" name="Chart 7">
          <a:extLst>
            <a:ext uri="{FF2B5EF4-FFF2-40B4-BE49-F238E27FC236}">
              <a16:creationId xmlns:a16="http://schemas.microsoft.com/office/drawing/2014/main" id="{CAB1A815-D232-402D-9F78-3C9C12573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432062</xdr:colOff>
      <xdr:row>14</xdr:row>
      <xdr:rowOff>68580</xdr:rowOff>
    </xdr:from>
    <xdr:to>
      <xdr:col>10</xdr:col>
      <xdr:colOff>89162</xdr:colOff>
      <xdr:row>27</xdr:row>
      <xdr:rowOff>53340</xdr:rowOff>
    </xdr:to>
    <xdr:graphicFrame macro="">
      <xdr:nvGraphicFramePr>
        <xdr:cNvPr id="9" name="Chart 8">
          <a:extLst>
            <a:ext uri="{FF2B5EF4-FFF2-40B4-BE49-F238E27FC236}">
              <a16:creationId xmlns:a16="http://schemas.microsoft.com/office/drawing/2014/main" id="{1F441301-3240-4163-BA91-40C395E14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119642</xdr:colOff>
      <xdr:row>14</xdr:row>
      <xdr:rowOff>76200</xdr:rowOff>
    </xdr:from>
    <xdr:to>
      <xdr:col>15</xdr:col>
      <xdr:colOff>553982</xdr:colOff>
      <xdr:row>27</xdr:row>
      <xdr:rowOff>53340</xdr:rowOff>
    </xdr:to>
    <xdr:graphicFrame macro="">
      <xdr:nvGraphicFramePr>
        <xdr:cNvPr id="10" name="Chart 9">
          <a:extLst>
            <a:ext uri="{FF2B5EF4-FFF2-40B4-BE49-F238E27FC236}">
              <a16:creationId xmlns:a16="http://schemas.microsoft.com/office/drawing/2014/main" id="{224E088E-DD3F-4340-8F46-25901555A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438543</xdr:colOff>
      <xdr:row>4</xdr:row>
      <xdr:rowOff>15240</xdr:rowOff>
    </xdr:from>
    <xdr:to>
      <xdr:col>21</xdr:col>
      <xdr:colOff>4203</xdr:colOff>
      <xdr:row>14</xdr:row>
      <xdr:rowOff>53340</xdr:rowOff>
    </xdr:to>
    <xdr:graphicFrame macro="">
      <xdr:nvGraphicFramePr>
        <xdr:cNvPr id="11" name="Chart 10">
          <a:extLst>
            <a:ext uri="{FF2B5EF4-FFF2-40B4-BE49-F238E27FC236}">
              <a16:creationId xmlns:a16="http://schemas.microsoft.com/office/drawing/2014/main" id="{9FE6BEA1-DA3F-4B27-98B6-28BA326AD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584548</xdr:colOff>
      <xdr:row>14</xdr:row>
      <xdr:rowOff>114300</xdr:rowOff>
    </xdr:from>
    <xdr:to>
      <xdr:col>20</xdr:col>
      <xdr:colOff>584548</xdr:colOff>
      <xdr:row>27</xdr:row>
      <xdr:rowOff>46990</xdr:rowOff>
    </xdr:to>
    <xdr:graphicFrame macro="">
      <xdr:nvGraphicFramePr>
        <xdr:cNvPr id="12" name="Chart 11">
          <a:extLst>
            <a:ext uri="{FF2B5EF4-FFF2-40B4-BE49-F238E27FC236}">
              <a16:creationId xmlns:a16="http://schemas.microsoft.com/office/drawing/2014/main" id="{21A45EAE-8359-456E-82F3-D3024D78F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25924</xdr:colOff>
      <xdr:row>4</xdr:row>
      <xdr:rowOff>22860</xdr:rowOff>
    </xdr:from>
    <xdr:to>
      <xdr:col>23</xdr:col>
      <xdr:colOff>147844</xdr:colOff>
      <xdr:row>11</xdr:row>
      <xdr:rowOff>114300</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AA8DE107-9199-414E-A2A6-3A0CA123F90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827524" y="754380"/>
              <a:ext cx="134112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25924</xdr:colOff>
      <xdr:row>11</xdr:row>
      <xdr:rowOff>152400</xdr:rowOff>
    </xdr:from>
    <xdr:to>
      <xdr:col>23</xdr:col>
      <xdr:colOff>147844</xdr:colOff>
      <xdr:row>19</xdr:row>
      <xdr:rowOff>68580</xdr:rowOff>
    </xdr:to>
    <mc:AlternateContent xmlns:mc="http://schemas.openxmlformats.org/markup-compatibility/2006" xmlns:a14="http://schemas.microsoft.com/office/drawing/2010/main">
      <mc:Choice Requires="a14">
        <xdr:graphicFrame macro="">
          <xdr:nvGraphicFramePr>
            <xdr:cNvPr id="14" name="LoanProduct 1">
              <a:extLst>
                <a:ext uri="{FF2B5EF4-FFF2-40B4-BE49-F238E27FC236}">
                  <a16:creationId xmlns:a16="http://schemas.microsoft.com/office/drawing/2014/main" id="{A946230C-18F0-4290-80CE-991756365838}"/>
                </a:ext>
              </a:extLst>
            </xdr:cNvPr>
            <xdr:cNvGraphicFramePr/>
          </xdr:nvGraphicFramePr>
          <xdr:xfrm>
            <a:off x="0" y="0"/>
            <a:ext cx="0" cy="0"/>
          </xdr:xfrm>
          <a:graphic>
            <a:graphicData uri="http://schemas.microsoft.com/office/drawing/2010/slicer">
              <sle:slicer xmlns:sle="http://schemas.microsoft.com/office/drawing/2010/slicer" name="LoanProduct 1"/>
            </a:graphicData>
          </a:graphic>
        </xdr:graphicFrame>
      </mc:Choice>
      <mc:Fallback xmlns="">
        <xdr:sp macro="" textlink="">
          <xdr:nvSpPr>
            <xdr:cNvPr id="0" name=""/>
            <xdr:cNvSpPr>
              <a:spLocks noTextEdit="1"/>
            </xdr:cNvSpPr>
          </xdr:nvSpPr>
          <xdr:spPr>
            <a:xfrm>
              <a:off x="12827524" y="2164080"/>
              <a:ext cx="134112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11823</xdr:colOff>
      <xdr:row>19</xdr:row>
      <xdr:rowOff>114300</xdr:rowOff>
    </xdr:from>
    <xdr:to>
      <xdr:col>23</xdr:col>
      <xdr:colOff>140093</xdr:colOff>
      <xdr:row>27</xdr:row>
      <xdr:rowOff>45720</xdr:rowOff>
    </xdr:to>
    <mc:AlternateContent xmlns:mc="http://schemas.openxmlformats.org/markup-compatibility/2006" xmlns:a14="http://schemas.microsoft.com/office/drawing/2010/main">
      <mc:Choice Requires="a14">
        <xdr:graphicFrame macro="">
          <xdr:nvGraphicFramePr>
            <xdr:cNvPr id="17" name="Months (DisbursementDate)">
              <a:extLst>
                <a:ext uri="{FF2B5EF4-FFF2-40B4-BE49-F238E27FC236}">
                  <a16:creationId xmlns:a16="http://schemas.microsoft.com/office/drawing/2014/main" id="{0CD85E79-CBE9-411E-8E15-5E8480DF6338}"/>
                </a:ext>
              </a:extLst>
            </xdr:cNvPr>
            <xdr:cNvGraphicFramePr/>
          </xdr:nvGraphicFramePr>
          <xdr:xfrm>
            <a:off x="0" y="0"/>
            <a:ext cx="0" cy="0"/>
          </xdr:xfrm>
          <a:graphic>
            <a:graphicData uri="http://schemas.microsoft.com/office/drawing/2010/slicer">
              <sle:slicer xmlns:sle="http://schemas.microsoft.com/office/drawing/2010/slicer" name="Months (DisbursementDate)"/>
            </a:graphicData>
          </a:graphic>
        </xdr:graphicFrame>
      </mc:Choice>
      <mc:Fallback xmlns="">
        <xdr:sp macro="" textlink="">
          <xdr:nvSpPr>
            <xdr:cNvPr id="0" name=""/>
            <xdr:cNvSpPr>
              <a:spLocks noTextEdit="1"/>
            </xdr:cNvSpPr>
          </xdr:nvSpPr>
          <xdr:spPr>
            <a:xfrm>
              <a:off x="12813423" y="3589020"/>
              <a:ext cx="134747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434340</xdr:colOff>
      <xdr:row>0</xdr:row>
      <xdr:rowOff>30480</xdr:rowOff>
    </xdr:from>
    <xdr:to>
      <xdr:col>11</xdr:col>
      <xdr:colOff>15240</xdr:colOff>
      <xdr:row>3</xdr:row>
      <xdr:rowOff>144780</xdr:rowOff>
    </xdr:to>
    <xdr:sp macro="" textlink="">
      <xdr:nvSpPr>
        <xdr:cNvPr id="20" name="Rectangle: Rounded Corners 19">
          <a:extLst>
            <a:ext uri="{FF2B5EF4-FFF2-40B4-BE49-F238E27FC236}">
              <a16:creationId xmlns:a16="http://schemas.microsoft.com/office/drawing/2014/main" id="{36FC625C-4657-C1D8-4101-9308305440C9}"/>
            </a:ext>
          </a:extLst>
        </xdr:cNvPr>
        <xdr:cNvSpPr/>
      </xdr:nvSpPr>
      <xdr:spPr>
        <a:xfrm>
          <a:off x="2872740" y="30480"/>
          <a:ext cx="3848100" cy="66294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SUVITHA FINANCE LIMITED</a:t>
          </a:r>
        </a:p>
      </xdr:txBody>
    </xdr:sp>
    <xdr:clientData/>
  </xdr:twoCellAnchor>
  <xdr:twoCellAnchor>
    <xdr:from>
      <xdr:col>0</xdr:col>
      <xdr:colOff>30480</xdr:colOff>
      <xdr:row>0</xdr:row>
      <xdr:rowOff>38100</xdr:rowOff>
    </xdr:from>
    <xdr:to>
      <xdr:col>2</xdr:col>
      <xdr:colOff>91440</xdr:colOff>
      <xdr:row>3</xdr:row>
      <xdr:rowOff>160020</xdr:rowOff>
    </xdr:to>
    <xdr:grpSp>
      <xdr:nvGrpSpPr>
        <xdr:cNvPr id="3" name="Group 2">
          <a:extLst>
            <a:ext uri="{FF2B5EF4-FFF2-40B4-BE49-F238E27FC236}">
              <a16:creationId xmlns:a16="http://schemas.microsoft.com/office/drawing/2014/main" id="{F7FC40B7-A581-12C8-67FC-C3299A193255}"/>
            </a:ext>
          </a:extLst>
        </xdr:cNvPr>
        <xdr:cNvGrpSpPr/>
      </xdr:nvGrpSpPr>
      <xdr:grpSpPr>
        <a:xfrm>
          <a:off x="30480" y="38100"/>
          <a:ext cx="1280160" cy="670560"/>
          <a:chOff x="30480" y="38100"/>
          <a:chExt cx="1112520" cy="670560"/>
        </a:xfrm>
      </xdr:grpSpPr>
      <xdr:sp macro="" textlink="">
        <xdr:nvSpPr>
          <xdr:cNvPr id="15" name="Rectangle: Rounded Corners 14">
            <a:extLst>
              <a:ext uri="{FF2B5EF4-FFF2-40B4-BE49-F238E27FC236}">
                <a16:creationId xmlns:a16="http://schemas.microsoft.com/office/drawing/2014/main" id="{ED452FAD-D3AD-99CD-AC2B-A027801DE8FF}"/>
              </a:ext>
            </a:extLst>
          </xdr:cNvPr>
          <xdr:cNvSpPr/>
        </xdr:nvSpPr>
        <xdr:spPr>
          <a:xfrm>
            <a:off x="30480" y="38100"/>
            <a:ext cx="1112520" cy="670560"/>
          </a:xfrm>
          <a:prstGeom prst="roundRect">
            <a:avLst/>
          </a:prstGeom>
          <a:solidFill>
            <a:schemeClr val="bg1">
              <a:lumMod val="8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200" b="1">
                <a:latin typeface="+mn-lt"/>
                <a:cs typeface="Times New Roman" panose="02020603050405020304" pitchFamily="18" charset="0"/>
              </a:rPr>
              <a:t>LOANS</a:t>
            </a:r>
            <a:endParaRPr lang="en-IN" sz="1100" b="1">
              <a:latin typeface="+mn-lt"/>
              <a:cs typeface="Times New Roman" panose="02020603050405020304" pitchFamily="18" charset="0"/>
            </a:endParaRPr>
          </a:p>
        </xdr:txBody>
      </xdr:sp>
      <xdr:sp macro="" textlink="'pivot tables'!G142">
        <xdr:nvSpPr>
          <xdr:cNvPr id="27" name="Rectangle 26">
            <a:extLst>
              <a:ext uri="{FF2B5EF4-FFF2-40B4-BE49-F238E27FC236}">
                <a16:creationId xmlns:a16="http://schemas.microsoft.com/office/drawing/2014/main" id="{6970AB60-BA2A-190C-E31F-6BE4F1CF2D1C}"/>
              </a:ext>
            </a:extLst>
          </xdr:cNvPr>
          <xdr:cNvSpPr/>
        </xdr:nvSpPr>
        <xdr:spPr>
          <a:xfrm>
            <a:off x="209320" y="381000"/>
            <a:ext cx="792940" cy="274320"/>
          </a:xfrm>
          <a:prstGeom prst="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F6AA56-5987-47F4-8C1B-D94A5BCE0ECC}" type="TxLink">
              <a:rPr lang="en-US" sz="1400" b="1" i="0" u="none" strike="noStrike">
                <a:solidFill>
                  <a:schemeClr val="bg1"/>
                </a:solidFill>
                <a:latin typeface="Calibri"/>
                <a:ea typeface="Calibri"/>
                <a:cs typeface="Calibri"/>
              </a:rPr>
              <a:pPr algn="ctr"/>
              <a:t>200</a:t>
            </a:fld>
            <a:endParaRPr lang="en-IN" sz="1200" b="1">
              <a:solidFill>
                <a:schemeClr val="bg1"/>
              </a:solidFill>
            </a:endParaRPr>
          </a:p>
        </xdr:txBody>
      </xdr:sp>
    </xdr:grpSp>
    <xdr:clientData/>
  </xdr:twoCellAnchor>
  <xdr:twoCellAnchor>
    <xdr:from>
      <xdr:col>18</xdr:col>
      <xdr:colOff>502920</xdr:colOff>
      <xdr:row>0</xdr:row>
      <xdr:rowOff>45720</xdr:rowOff>
    </xdr:from>
    <xdr:to>
      <xdr:col>20</xdr:col>
      <xdr:colOff>541020</xdr:colOff>
      <xdr:row>3</xdr:row>
      <xdr:rowOff>167640</xdr:rowOff>
    </xdr:to>
    <xdr:grpSp>
      <xdr:nvGrpSpPr>
        <xdr:cNvPr id="29" name="Group 28">
          <a:extLst>
            <a:ext uri="{FF2B5EF4-FFF2-40B4-BE49-F238E27FC236}">
              <a16:creationId xmlns:a16="http://schemas.microsoft.com/office/drawing/2014/main" id="{823BA03E-2C45-F179-B425-552B9BEFB021}"/>
            </a:ext>
          </a:extLst>
        </xdr:cNvPr>
        <xdr:cNvGrpSpPr/>
      </xdr:nvGrpSpPr>
      <xdr:grpSpPr>
        <a:xfrm>
          <a:off x="11475720" y="45720"/>
          <a:ext cx="1257300" cy="670560"/>
          <a:chOff x="11636710" y="45720"/>
          <a:chExt cx="1097280" cy="670560"/>
        </a:xfrm>
      </xdr:grpSpPr>
      <xdr:sp macro="" textlink="">
        <xdr:nvSpPr>
          <xdr:cNvPr id="16" name="Rectangle: Rounded Corners 15">
            <a:extLst>
              <a:ext uri="{FF2B5EF4-FFF2-40B4-BE49-F238E27FC236}">
                <a16:creationId xmlns:a16="http://schemas.microsoft.com/office/drawing/2014/main" id="{F0C1E631-430D-1464-33E9-A4EB85203721}"/>
              </a:ext>
            </a:extLst>
          </xdr:cNvPr>
          <xdr:cNvSpPr/>
        </xdr:nvSpPr>
        <xdr:spPr>
          <a:xfrm>
            <a:off x="11636710" y="45720"/>
            <a:ext cx="1097280" cy="6705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NPA%</a:t>
            </a:r>
          </a:p>
        </xdr:txBody>
      </xdr:sp>
      <xdr:sp macro="" textlink="'pivot tables'!I32">
        <xdr:nvSpPr>
          <xdr:cNvPr id="28" name="Rectangle 27">
            <a:extLst>
              <a:ext uri="{FF2B5EF4-FFF2-40B4-BE49-F238E27FC236}">
                <a16:creationId xmlns:a16="http://schemas.microsoft.com/office/drawing/2014/main" id="{364057C5-0D62-7BEA-E91D-79B9140D7762}"/>
              </a:ext>
            </a:extLst>
          </xdr:cNvPr>
          <xdr:cNvSpPr/>
        </xdr:nvSpPr>
        <xdr:spPr>
          <a:xfrm>
            <a:off x="11849100" y="434340"/>
            <a:ext cx="693420" cy="22098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B0BE97-140C-4295-A458-9140B7AB56F2}" type="TxLink">
              <a:rPr lang="en-US" sz="1400" b="1" i="0" u="none" strike="noStrike">
                <a:solidFill>
                  <a:schemeClr val="bg1"/>
                </a:solidFill>
                <a:latin typeface="Calibri"/>
                <a:ea typeface="Calibri"/>
                <a:cs typeface="Calibri"/>
              </a:rPr>
              <a:pPr algn="ctr"/>
              <a:t>8.0%</a:t>
            </a:fld>
            <a:endParaRPr lang="en-US" sz="1200" b="1">
              <a:solidFill>
                <a:schemeClr val="bg1"/>
              </a:solidFill>
            </a:endParaRPr>
          </a:p>
        </xdr:txBody>
      </xdr:sp>
    </xdr:grpSp>
    <xdr:clientData/>
  </xdr:twoCellAnchor>
  <xdr:twoCellAnchor>
    <xdr:from>
      <xdr:col>2</xdr:col>
      <xdr:colOff>167640</xdr:colOff>
      <xdr:row>0</xdr:row>
      <xdr:rowOff>53340</xdr:rowOff>
    </xdr:from>
    <xdr:to>
      <xdr:col>4</xdr:col>
      <xdr:colOff>396240</xdr:colOff>
      <xdr:row>3</xdr:row>
      <xdr:rowOff>175260</xdr:rowOff>
    </xdr:to>
    <xdr:grpSp>
      <xdr:nvGrpSpPr>
        <xdr:cNvPr id="4" name="Group 3">
          <a:extLst>
            <a:ext uri="{FF2B5EF4-FFF2-40B4-BE49-F238E27FC236}">
              <a16:creationId xmlns:a16="http://schemas.microsoft.com/office/drawing/2014/main" id="{E5773E3E-2B93-A331-BC20-0B4522CA1F46}"/>
            </a:ext>
          </a:extLst>
        </xdr:cNvPr>
        <xdr:cNvGrpSpPr/>
      </xdr:nvGrpSpPr>
      <xdr:grpSpPr>
        <a:xfrm>
          <a:off x="1386840" y="53340"/>
          <a:ext cx="1447800" cy="670560"/>
          <a:chOff x="2301240" y="38100"/>
          <a:chExt cx="1447800" cy="670560"/>
        </a:xfrm>
      </xdr:grpSpPr>
      <xdr:sp macro="" textlink="">
        <xdr:nvSpPr>
          <xdr:cNvPr id="18" name="Rectangle: Rounded Corners 17">
            <a:extLst>
              <a:ext uri="{FF2B5EF4-FFF2-40B4-BE49-F238E27FC236}">
                <a16:creationId xmlns:a16="http://schemas.microsoft.com/office/drawing/2014/main" id="{1E5B95B8-6185-AB8E-3016-4115CB145AA1}"/>
              </a:ext>
            </a:extLst>
          </xdr:cNvPr>
          <xdr:cNvSpPr/>
        </xdr:nvSpPr>
        <xdr:spPr>
          <a:xfrm>
            <a:off x="2301240" y="38100"/>
            <a:ext cx="1447800" cy="670560"/>
          </a:xfrm>
          <a:prstGeom prst="round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200" b="1">
                <a:solidFill>
                  <a:schemeClr val="tx1"/>
                </a:solidFill>
              </a:rPr>
              <a:t>LOAN</a:t>
            </a:r>
            <a:r>
              <a:rPr lang="en-IN" sz="1200" b="1" baseline="0">
                <a:solidFill>
                  <a:schemeClr val="tx1"/>
                </a:solidFill>
              </a:rPr>
              <a:t> AMOUNT</a:t>
            </a:r>
            <a:endParaRPr lang="en-IN" sz="1200" b="1">
              <a:solidFill>
                <a:schemeClr val="tx1"/>
              </a:solidFill>
            </a:endParaRPr>
          </a:p>
        </xdr:txBody>
      </xdr:sp>
      <xdr:sp macro="" textlink="'pivot tables'!F9">
        <xdr:nvSpPr>
          <xdr:cNvPr id="30" name="Rectangle 29">
            <a:extLst>
              <a:ext uri="{FF2B5EF4-FFF2-40B4-BE49-F238E27FC236}">
                <a16:creationId xmlns:a16="http://schemas.microsoft.com/office/drawing/2014/main" id="{FA468EB9-48FB-4446-B71F-6EB1999D6E3C}"/>
              </a:ext>
            </a:extLst>
          </xdr:cNvPr>
          <xdr:cNvSpPr/>
        </xdr:nvSpPr>
        <xdr:spPr>
          <a:xfrm>
            <a:off x="2440000" y="373380"/>
            <a:ext cx="1216000" cy="251460"/>
          </a:xfrm>
          <a:prstGeom prst="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68F450-F693-4BE2-9875-4F665D2C01D9}" type="TxLink">
              <a:rPr lang="en-US" sz="1400" b="1" i="0" u="none" strike="noStrike">
                <a:solidFill>
                  <a:schemeClr val="bg1"/>
                </a:solidFill>
                <a:latin typeface="Calibri"/>
                <a:ea typeface="Calibri"/>
                <a:cs typeface="Calibri"/>
              </a:rPr>
              <a:pPr algn="ctr"/>
              <a:t>109375000</a:t>
            </a:fld>
            <a:endParaRPr lang="en-US" sz="1200" b="1">
              <a:solidFill>
                <a:schemeClr val="bg1"/>
              </a:solidFill>
            </a:endParaRPr>
          </a:p>
        </xdr:txBody>
      </xdr:sp>
    </xdr:grpSp>
    <xdr:clientData/>
  </xdr:twoCellAnchor>
  <xdr:twoCellAnchor>
    <xdr:from>
      <xdr:col>11</xdr:col>
      <xdr:colOff>45720</xdr:colOff>
      <xdr:row>0</xdr:row>
      <xdr:rowOff>22860</xdr:rowOff>
    </xdr:from>
    <xdr:to>
      <xdr:col>13</xdr:col>
      <xdr:colOff>472440</xdr:colOff>
      <xdr:row>3</xdr:row>
      <xdr:rowOff>137160</xdr:rowOff>
    </xdr:to>
    <xdr:grpSp>
      <xdr:nvGrpSpPr>
        <xdr:cNvPr id="5" name="Group 4">
          <a:extLst>
            <a:ext uri="{FF2B5EF4-FFF2-40B4-BE49-F238E27FC236}">
              <a16:creationId xmlns:a16="http://schemas.microsoft.com/office/drawing/2014/main" id="{548A5346-09EE-0D69-B646-E2FD82B28757}"/>
            </a:ext>
          </a:extLst>
        </xdr:cNvPr>
        <xdr:cNvGrpSpPr/>
      </xdr:nvGrpSpPr>
      <xdr:grpSpPr>
        <a:xfrm>
          <a:off x="6751320" y="22860"/>
          <a:ext cx="1645920" cy="662940"/>
          <a:chOff x="7002780" y="45720"/>
          <a:chExt cx="1478280" cy="662940"/>
        </a:xfrm>
      </xdr:grpSpPr>
      <xdr:sp macro="" textlink="">
        <xdr:nvSpPr>
          <xdr:cNvPr id="19" name="Rectangle: Rounded Corners 18">
            <a:extLst>
              <a:ext uri="{FF2B5EF4-FFF2-40B4-BE49-F238E27FC236}">
                <a16:creationId xmlns:a16="http://schemas.microsoft.com/office/drawing/2014/main" id="{7A5BDE7C-956E-9191-57AF-98C5A3BEC5A7}"/>
              </a:ext>
            </a:extLst>
          </xdr:cNvPr>
          <xdr:cNvSpPr/>
        </xdr:nvSpPr>
        <xdr:spPr>
          <a:xfrm>
            <a:off x="7002780" y="45720"/>
            <a:ext cx="1478280" cy="66294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BALANCE</a:t>
            </a:r>
            <a:endParaRPr lang="en-IN" sz="1100" b="1">
              <a:solidFill>
                <a:schemeClr val="tx1"/>
              </a:solidFill>
            </a:endParaRPr>
          </a:p>
        </xdr:txBody>
      </xdr:sp>
      <xdr:sp macro="" textlink="'pivot tables'!F17">
        <xdr:nvSpPr>
          <xdr:cNvPr id="31" name="Rectangle 30">
            <a:extLst>
              <a:ext uri="{FF2B5EF4-FFF2-40B4-BE49-F238E27FC236}">
                <a16:creationId xmlns:a16="http://schemas.microsoft.com/office/drawing/2014/main" id="{464DF226-2CA8-4E1A-B1E5-458DDA7E9BBD}"/>
              </a:ext>
            </a:extLst>
          </xdr:cNvPr>
          <xdr:cNvSpPr/>
        </xdr:nvSpPr>
        <xdr:spPr>
          <a:xfrm>
            <a:off x="7147560" y="365760"/>
            <a:ext cx="1158240" cy="2667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D5F756-FAA2-4C40-A180-9E0EA30B8F6A}" type="TxLink">
              <a:rPr lang="en-US" sz="1400" b="1" i="0" u="none" strike="noStrike">
                <a:solidFill>
                  <a:schemeClr val="bg1"/>
                </a:solidFill>
                <a:latin typeface="Calibri"/>
                <a:ea typeface="Calibri"/>
                <a:cs typeface="Calibri"/>
              </a:rPr>
              <a:pPr algn="ctr"/>
              <a:t>99301530</a:t>
            </a:fld>
            <a:endParaRPr lang="en-US" sz="1400" b="1">
              <a:solidFill>
                <a:schemeClr val="bg1"/>
              </a:solidFill>
            </a:endParaRPr>
          </a:p>
        </xdr:txBody>
      </xdr:sp>
    </xdr:grpSp>
    <xdr:clientData/>
  </xdr:twoCellAnchor>
  <xdr:twoCellAnchor>
    <xdr:from>
      <xdr:col>13</xdr:col>
      <xdr:colOff>487680</xdr:colOff>
      <xdr:row>0</xdr:row>
      <xdr:rowOff>38100</xdr:rowOff>
    </xdr:from>
    <xdr:to>
      <xdr:col>16</xdr:col>
      <xdr:colOff>121920</xdr:colOff>
      <xdr:row>3</xdr:row>
      <xdr:rowOff>144780</xdr:rowOff>
    </xdr:to>
    <xdr:grpSp>
      <xdr:nvGrpSpPr>
        <xdr:cNvPr id="21" name="Group 20">
          <a:extLst>
            <a:ext uri="{FF2B5EF4-FFF2-40B4-BE49-F238E27FC236}">
              <a16:creationId xmlns:a16="http://schemas.microsoft.com/office/drawing/2014/main" id="{6F36A2A9-7AE2-CAA4-5B32-5FB812362043}"/>
            </a:ext>
          </a:extLst>
        </xdr:cNvPr>
        <xdr:cNvGrpSpPr/>
      </xdr:nvGrpSpPr>
      <xdr:grpSpPr>
        <a:xfrm>
          <a:off x="8412480" y="38100"/>
          <a:ext cx="1463040" cy="655320"/>
          <a:chOff x="8511540" y="45720"/>
          <a:chExt cx="1463040" cy="655320"/>
        </a:xfrm>
      </xdr:grpSpPr>
      <xdr:sp macro="" textlink="">
        <xdr:nvSpPr>
          <xdr:cNvPr id="22" name="Rectangle: Rounded Corners 21">
            <a:extLst>
              <a:ext uri="{FF2B5EF4-FFF2-40B4-BE49-F238E27FC236}">
                <a16:creationId xmlns:a16="http://schemas.microsoft.com/office/drawing/2014/main" id="{CBB75F54-246E-1DAC-8E7B-48AF8E3AA883}"/>
              </a:ext>
            </a:extLst>
          </xdr:cNvPr>
          <xdr:cNvSpPr/>
        </xdr:nvSpPr>
        <xdr:spPr>
          <a:xfrm>
            <a:off x="8511540" y="45720"/>
            <a:ext cx="1463040" cy="65532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200" b="1">
                <a:solidFill>
                  <a:schemeClr val="tx1"/>
                </a:solidFill>
              </a:rPr>
              <a:t>TILL DATE</a:t>
            </a:r>
          </a:p>
        </xdr:txBody>
      </xdr:sp>
      <xdr:sp macro="" textlink="'pivot tables'!G9">
        <xdr:nvSpPr>
          <xdr:cNvPr id="32" name="Rectangle 31">
            <a:extLst>
              <a:ext uri="{FF2B5EF4-FFF2-40B4-BE49-F238E27FC236}">
                <a16:creationId xmlns:a16="http://schemas.microsoft.com/office/drawing/2014/main" id="{C6040A8C-59EF-4E33-AC1E-264D9FDD9761}"/>
              </a:ext>
            </a:extLst>
          </xdr:cNvPr>
          <xdr:cNvSpPr/>
        </xdr:nvSpPr>
        <xdr:spPr>
          <a:xfrm>
            <a:off x="8656320" y="373380"/>
            <a:ext cx="1203960" cy="25908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2B0330-1B8A-4FF3-84D0-A0B62C705E72}" type="TxLink">
              <a:rPr lang="en-US" sz="1400" b="1" i="0" u="none" strike="noStrike">
                <a:solidFill>
                  <a:schemeClr val="bg1"/>
                </a:solidFill>
                <a:latin typeface="Calibri"/>
                <a:ea typeface="Calibri"/>
                <a:cs typeface="Calibri"/>
              </a:rPr>
              <a:pPr algn="ctr"/>
              <a:t>13702226</a:t>
            </a:fld>
            <a:endParaRPr lang="en-US" sz="1200" b="1">
              <a:solidFill>
                <a:schemeClr val="bg1"/>
              </a:solidFill>
            </a:endParaRPr>
          </a:p>
        </xdr:txBody>
      </xdr:sp>
    </xdr:grpSp>
    <xdr:clientData/>
  </xdr:twoCellAnchor>
  <xdr:twoCellAnchor>
    <xdr:from>
      <xdr:col>16</xdr:col>
      <xdr:colOff>152400</xdr:colOff>
      <xdr:row>0</xdr:row>
      <xdr:rowOff>38100</xdr:rowOff>
    </xdr:from>
    <xdr:to>
      <xdr:col>18</xdr:col>
      <xdr:colOff>487680</xdr:colOff>
      <xdr:row>3</xdr:row>
      <xdr:rowOff>152400</xdr:rowOff>
    </xdr:to>
    <xdr:grpSp>
      <xdr:nvGrpSpPr>
        <xdr:cNvPr id="26" name="Group 25">
          <a:extLst>
            <a:ext uri="{FF2B5EF4-FFF2-40B4-BE49-F238E27FC236}">
              <a16:creationId xmlns:a16="http://schemas.microsoft.com/office/drawing/2014/main" id="{9587AB06-4F1F-47DA-4166-F5C81E7886BF}"/>
            </a:ext>
          </a:extLst>
        </xdr:cNvPr>
        <xdr:cNvGrpSpPr/>
      </xdr:nvGrpSpPr>
      <xdr:grpSpPr>
        <a:xfrm>
          <a:off x="9906000" y="38100"/>
          <a:ext cx="1554480" cy="662940"/>
          <a:chOff x="9997440" y="38100"/>
          <a:chExt cx="1386840" cy="662940"/>
        </a:xfrm>
      </xdr:grpSpPr>
      <xdr:sp macro="" textlink="">
        <xdr:nvSpPr>
          <xdr:cNvPr id="23" name="Rectangle: Rounded Corners 22">
            <a:extLst>
              <a:ext uri="{FF2B5EF4-FFF2-40B4-BE49-F238E27FC236}">
                <a16:creationId xmlns:a16="http://schemas.microsoft.com/office/drawing/2014/main" id="{FB44C319-5005-0109-16D6-7D5440896E45}"/>
              </a:ext>
            </a:extLst>
          </xdr:cNvPr>
          <xdr:cNvSpPr/>
        </xdr:nvSpPr>
        <xdr:spPr>
          <a:xfrm>
            <a:off x="9997440" y="38100"/>
            <a:ext cx="1386840" cy="66294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INCOME </a:t>
            </a:r>
            <a:endParaRPr lang="en-IN" sz="1100" b="1">
              <a:solidFill>
                <a:schemeClr val="tx1"/>
              </a:solidFill>
            </a:endParaRPr>
          </a:p>
        </xdr:txBody>
      </xdr:sp>
      <xdr:sp macro="" textlink="'pivot tables'!G193">
        <xdr:nvSpPr>
          <xdr:cNvPr id="33" name="Rectangle 32">
            <a:extLst>
              <a:ext uri="{FF2B5EF4-FFF2-40B4-BE49-F238E27FC236}">
                <a16:creationId xmlns:a16="http://schemas.microsoft.com/office/drawing/2014/main" id="{5EBA54E2-494F-4E15-A66D-6AC5A95F1894}"/>
              </a:ext>
            </a:extLst>
          </xdr:cNvPr>
          <xdr:cNvSpPr/>
        </xdr:nvSpPr>
        <xdr:spPr>
          <a:xfrm>
            <a:off x="10165080" y="365760"/>
            <a:ext cx="1097280" cy="25146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FD4342-09B4-4161-9FE7-1E27C2FB5355}" type="TxLink">
              <a:rPr lang="en-US" sz="1400" b="1" i="0" u="none" strike="noStrike">
                <a:solidFill>
                  <a:schemeClr val="bg1"/>
                </a:solidFill>
                <a:latin typeface="Calibri"/>
                <a:ea typeface="Calibri"/>
                <a:cs typeface="Calibri"/>
              </a:rPr>
              <a:pPr algn="ctr"/>
              <a:t>3628756</a:t>
            </a:fld>
            <a:endParaRPr lang="en-US" sz="1100" b="1">
              <a:solidFill>
                <a:schemeClr val="bg1"/>
              </a:solidFill>
            </a:endParaRPr>
          </a:p>
        </xdr:txBody>
      </xdr:sp>
    </xdr:grpSp>
    <xdr:clientData/>
  </xdr:twoCellAnchor>
  <xdr:twoCellAnchor>
    <xdr:from>
      <xdr:col>20</xdr:col>
      <xdr:colOff>586740</xdr:colOff>
      <xdr:row>0</xdr:row>
      <xdr:rowOff>45720</xdr:rowOff>
    </xdr:from>
    <xdr:to>
      <xdr:col>23</xdr:col>
      <xdr:colOff>128314</xdr:colOff>
      <xdr:row>3</xdr:row>
      <xdr:rowOff>160020</xdr:rowOff>
    </xdr:to>
    <xdr:grpSp>
      <xdr:nvGrpSpPr>
        <xdr:cNvPr id="36" name="Group 35">
          <a:extLst>
            <a:ext uri="{FF2B5EF4-FFF2-40B4-BE49-F238E27FC236}">
              <a16:creationId xmlns:a16="http://schemas.microsoft.com/office/drawing/2014/main" id="{E28F5489-73A0-8660-02A1-3054F333D7C3}"/>
            </a:ext>
          </a:extLst>
        </xdr:cNvPr>
        <xdr:cNvGrpSpPr/>
      </xdr:nvGrpSpPr>
      <xdr:grpSpPr>
        <a:xfrm>
          <a:off x="12778740" y="45720"/>
          <a:ext cx="1370374" cy="662940"/>
          <a:chOff x="12816840" y="45720"/>
          <a:chExt cx="1370374" cy="662940"/>
        </a:xfrm>
      </xdr:grpSpPr>
      <xdr:sp macro="" textlink="">
        <xdr:nvSpPr>
          <xdr:cNvPr id="25" name="Rectangle: Rounded Corners 24">
            <a:extLst>
              <a:ext uri="{FF2B5EF4-FFF2-40B4-BE49-F238E27FC236}">
                <a16:creationId xmlns:a16="http://schemas.microsoft.com/office/drawing/2014/main" id="{A1590567-19DC-C872-78A8-6C6E3DCD260E}"/>
              </a:ext>
            </a:extLst>
          </xdr:cNvPr>
          <xdr:cNvSpPr/>
        </xdr:nvSpPr>
        <xdr:spPr>
          <a:xfrm>
            <a:off x="12816840" y="45720"/>
            <a:ext cx="1370374" cy="66294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OVERDUE</a:t>
            </a:r>
            <a:endParaRPr lang="en-IN" sz="1100" b="1">
              <a:solidFill>
                <a:schemeClr val="tx1"/>
              </a:solidFill>
            </a:endParaRPr>
          </a:p>
        </xdr:txBody>
      </xdr:sp>
      <xdr:sp macro="" textlink="'pivot tables'!E158">
        <xdr:nvSpPr>
          <xdr:cNvPr id="35" name="Rectangle 34">
            <a:extLst>
              <a:ext uri="{FF2B5EF4-FFF2-40B4-BE49-F238E27FC236}">
                <a16:creationId xmlns:a16="http://schemas.microsoft.com/office/drawing/2014/main" id="{6938E0E8-1CA6-443F-B6A9-6D8962570187}"/>
              </a:ext>
            </a:extLst>
          </xdr:cNvPr>
          <xdr:cNvSpPr/>
        </xdr:nvSpPr>
        <xdr:spPr>
          <a:xfrm>
            <a:off x="12877800" y="396240"/>
            <a:ext cx="601980" cy="24384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CEFE36-6C06-4C9E-95C3-91C4218FACF8}" type="TxLink">
              <a:rPr lang="en-US" sz="1400" b="1" i="0" u="none" strike="noStrike">
                <a:solidFill>
                  <a:schemeClr val="bg1"/>
                </a:solidFill>
                <a:latin typeface="Calibri"/>
                <a:ea typeface="Calibri"/>
                <a:cs typeface="Calibri"/>
              </a:rPr>
              <a:pPr algn="ctr"/>
              <a:t>37</a:t>
            </a:fld>
            <a:endParaRPr lang="en-IN" sz="1100" b="1">
              <a:solidFill>
                <a:schemeClr val="bg1"/>
              </a:solidFill>
            </a:endParaRPr>
          </a:p>
        </xdr:txBody>
      </xdr:sp>
      <xdr:sp macro="" textlink="'pivot tables'!F50">
        <xdr:nvSpPr>
          <xdr:cNvPr id="38" name="Rectangle 37">
            <a:extLst>
              <a:ext uri="{FF2B5EF4-FFF2-40B4-BE49-F238E27FC236}">
                <a16:creationId xmlns:a16="http://schemas.microsoft.com/office/drawing/2014/main" id="{1E5BA678-265F-4253-B75E-D155CFBBFF74}"/>
              </a:ext>
            </a:extLst>
          </xdr:cNvPr>
          <xdr:cNvSpPr/>
        </xdr:nvSpPr>
        <xdr:spPr>
          <a:xfrm>
            <a:off x="13522872" y="381000"/>
            <a:ext cx="604608" cy="2667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E21A8B3-D092-477B-8295-88A57D04755C}" type="TxLink">
              <a:rPr lang="en-US" sz="1200" b="1" i="0" u="none" strike="noStrike">
                <a:solidFill>
                  <a:schemeClr val="bg1"/>
                </a:solidFill>
                <a:latin typeface="Calibri"/>
                <a:ea typeface="Calibri"/>
                <a:cs typeface="Calibri"/>
              </a:rPr>
              <a:pPr algn="ctr"/>
              <a:t>18.5%</a:t>
            </a:fld>
            <a:endParaRPr lang="en-IN" sz="1100" b="1">
              <a:solidFill>
                <a:schemeClr val="bg1"/>
              </a:solidFill>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1.532240740744" createdVersion="8" refreshedVersion="8" minRefreshableVersion="3" recordCount="200" xr:uid="{A2859123-74EC-4BF8-AE56-1E6D132A79AA}">
  <cacheSource type="worksheet">
    <worksheetSource ref="A1:T201" sheet="LoanData"/>
  </cacheSource>
  <cacheFields count="26">
    <cacheField name="LoanID" numFmtId="0">
      <sharedItems/>
    </cacheField>
    <cacheField name="BranchName" numFmtId="0">
      <sharedItems count="8">
        <s v="Bengaluru-01"/>
        <s v="Delhi-01"/>
        <s v="Pune-01"/>
        <s v="Mumbai-01"/>
        <s v="Kolkata-01"/>
        <s v="Chennai-01"/>
        <s v="Lucknow-01"/>
        <s v="Bhubaneswar-01"/>
      </sharedItems>
    </cacheField>
    <cacheField name="Region" numFmtId="0">
      <sharedItems count="4">
        <s v="South"/>
        <s v="North"/>
        <s v="West"/>
        <s v="East"/>
      </sharedItems>
    </cacheField>
    <cacheField name="LoanProduct" numFmtId="0">
      <sharedItems count="5">
        <s v="Vehicle Loan"/>
        <s v="Gold Loan"/>
        <s v="Personal Loan"/>
        <s v="Home Improvement Loan"/>
        <s v="Business Loan"/>
      </sharedItems>
    </cacheField>
    <cacheField name="CustomerID" numFmtId="0">
      <sharedItems/>
    </cacheField>
    <cacheField name="EmploymentType" numFmtId="0">
      <sharedItems count="3">
        <s v="Self-Employed"/>
        <s v="Salaried"/>
        <s v="Business Owner"/>
      </sharedItems>
    </cacheField>
    <cacheField name="CustomerAge" numFmtId="0">
      <sharedItems containsSemiMixedTypes="0" containsString="0" containsNumber="1" containsInteger="1" minValue="23" maxValue="58" count="36">
        <n v="55"/>
        <n v="37"/>
        <n v="46"/>
        <n v="54"/>
        <n v="27"/>
        <n v="45"/>
        <n v="41"/>
        <n v="32"/>
        <n v="36"/>
        <n v="40"/>
        <n v="49"/>
        <n v="51"/>
        <n v="33"/>
        <n v="47"/>
        <n v="38"/>
        <n v="42"/>
        <n v="43"/>
        <n v="56"/>
        <n v="48"/>
        <n v="25"/>
        <n v="53"/>
        <n v="50"/>
        <n v="26"/>
        <n v="23"/>
        <n v="31"/>
        <n v="52"/>
        <n v="24"/>
        <n v="44"/>
        <n v="58"/>
        <n v="57"/>
        <n v="30"/>
        <n v="28"/>
        <n v="35"/>
        <n v="34"/>
        <n v="29"/>
        <n v="39"/>
      </sharedItems>
      <fieldGroup base="6">
        <rangePr autoStart="0" autoEnd="0" startNum="30" endNum="50" groupInterval="10"/>
        <groupItems count="4">
          <s v="&lt;30"/>
          <s v="30-39"/>
          <s v="40-50"/>
          <s v="&gt;50"/>
        </groupItems>
      </fieldGroup>
    </cacheField>
    <cacheField name="age catogory" numFmtId="0">
      <sharedItems count="5">
        <s v="50+"/>
        <s v="30-40"/>
        <s v="40-50"/>
        <s v="&lt;30"/>
        <e v="#N/A" u="1"/>
      </sharedItems>
    </cacheField>
    <cacheField name="DisbursementDate" numFmtId="164">
      <sharedItems containsSemiMixedTypes="0" containsNonDate="0" containsDate="1" containsString="0" minDate="2024-01-01T00:00:00" maxDate="2024-06-26T00:00:00" count="117">
        <d v="2024-02-17T00:00:00"/>
        <d v="2024-06-02T00:00:00"/>
        <d v="2024-01-05T00:00:00"/>
        <d v="2024-02-06T00:00:00"/>
        <d v="2024-01-18T00:00:00"/>
        <d v="2024-04-17T00:00:00"/>
        <d v="2024-01-16T00:00:00"/>
        <d v="2024-03-12T00:00:00"/>
        <d v="2024-02-22T00:00:00"/>
        <d v="2024-04-22T00:00:00"/>
        <d v="2024-01-28T00:00:00"/>
        <d v="2024-02-24T00:00:00"/>
        <d v="2024-03-26T00:00:00"/>
        <d v="2024-02-25T00:00:00"/>
        <d v="2024-03-22T00:00:00"/>
        <d v="2024-02-03T00:00:00"/>
        <d v="2024-04-28T00:00:00"/>
        <d v="2024-04-05T00:00:00"/>
        <d v="2024-03-23T00:00:00"/>
        <d v="2024-06-14T00:00:00"/>
        <d v="2024-05-13T00:00:00"/>
        <d v="2024-04-06T00:00:00"/>
        <d v="2024-04-13T00:00:00"/>
        <d v="2024-02-08T00:00:00"/>
        <d v="2024-06-06T00:00:00"/>
        <d v="2024-01-03T00:00:00"/>
        <d v="2024-01-10T00:00:00"/>
        <d v="2024-03-07T00:00:00"/>
        <d v="2024-01-14T00:00:00"/>
        <d v="2024-01-22T00:00:00"/>
        <d v="2024-02-23T00:00:00"/>
        <d v="2024-05-18T00:00:00"/>
        <d v="2024-03-06T00:00:00"/>
        <d v="2024-05-05T00:00:00"/>
        <d v="2024-01-06T00:00:00"/>
        <d v="2024-04-16T00:00:00"/>
        <d v="2024-06-08T00:00:00"/>
        <d v="2024-02-16T00:00:00"/>
        <d v="2024-03-13T00:00:00"/>
        <d v="2024-01-07T00:00:00"/>
        <d v="2024-06-07T00:00:00"/>
        <d v="2024-03-01T00:00:00"/>
        <d v="2024-01-24T00:00:00"/>
        <d v="2024-06-12T00:00:00"/>
        <d v="2024-02-02T00:00:00"/>
        <d v="2024-03-24T00:00:00"/>
        <d v="2024-04-21T00:00:00"/>
        <d v="2024-02-07T00:00:00"/>
        <d v="2024-06-20T00:00:00"/>
        <d v="2024-06-25T00:00:00"/>
        <d v="2024-01-21T00:00:00"/>
        <d v="2024-04-07T00:00:00"/>
        <d v="2024-03-21T00:00:00"/>
        <d v="2024-02-28T00:00:00"/>
        <d v="2024-05-15T00:00:00"/>
        <d v="2024-06-18T00:00:00"/>
        <d v="2024-04-24T00:00:00"/>
        <d v="2024-05-09T00:00:00"/>
        <d v="2024-02-15T00:00:00"/>
        <d v="2024-05-14T00:00:00"/>
        <d v="2024-03-27T00:00:00"/>
        <d v="2024-02-18T00:00:00"/>
        <d v="2024-04-10T00:00:00"/>
        <d v="2024-01-09T00:00:00"/>
        <d v="2024-03-20T00:00:00"/>
        <d v="2024-02-13T00:00:00"/>
        <d v="2024-01-11T00:00:00"/>
        <d v="2024-04-25T00:00:00"/>
        <d v="2024-03-09T00:00:00"/>
        <d v="2024-03-25T00:00:00"/>
        <d v="2024-06-03T00:00:00"/>
        <d v="2024-06-16T00:00:00"/>
        <d v="2024-01-01T00:00:00"/>
        <d v="2024-05-06T00:00:00"/>
        <d v="2024-04-23T00:00:00"/>
        <d v="2024-06-24T00:00:00"/>
        <d v="2024-01-17T00:00:00"/>
        <d v="2024-02-12T00:00:00"/>
        <d v="2024-05-02T00:00:00"/>
        <d v="2024-06-21T00:00:00"/>
        <d v="2024-03-14T00:00:00"/>
        <d v="2024-03-11T00:00:00"/>
        <d v="2024-02-26T00:00:00"/>
        <d v="2024-03-05T00:00:00"/>
        <d v="2024-02-20T00:00:00"/>
        <d v="2024-05-07T00:00:00"/>
        <d v="2024-05-21T00:00:00"/>
        <d v="2024-04-09T00:00:00"/>
        <d v="2024-06-23T00:00:00"/>
        <d v="2024-01-19T00:00:00"/>
        <d v="2024-02-01T00:00:00"/>
        <d v="2024-05-17T00:00:00"/>
        <d v="2024-04-26T00:00:00"/>
        <d v="2024-05-27T00:00:00"/>
        <d v="2024-02-04T00:00:00"/>
        <d v="2024-05-25T00:00:00"/>
        <d v="2024-05-22T00:00:00"/>
        <d v="2024-04-08T00:00:00"/>
        <d v="2024-01-25T00:00:00"/>
        <d v="2024-01-04T00:00:00"/>
        <d v="2024-05-04T00:00:00"/>
        <d v="2024-05-26T00:00:00"/>
        <d v="2024-01-15T00:00:00"/>
        <d v="2024-03-19T00:00:00"/>
        <d v="2024-04-02T00:00:00"/>
        <d v="2024-04-15T00:00:00"/>
        <d v="2024-06-15T00:00:00"/>
        <d v="2024-02-11T00:00:00"/>
        <d v="2024-06-10T00:00:00"/>
        <d v="2024-04-11T00:00:00"/>
        <d v="2024-03-08T00:00:00"/>
        <d v="2024-06-01T00:00:00"/>
        <d v="2024-01-12T00:00:00"/>
        <d v="2024-04-19T00:00:00"/>
        <d v="2024-04-20T00:00:00"/>
        <d v="2024-01-23T00:00:00"/>
        <d v="2024-01-27T00:00:00"/>
      </sharedItems>
      <fieldGroup par="21"/>
    </cacheField>
    <cacheField name="LoanAmount" numFmtId="3">
      <sharedItems containsSemiMixedTypes="0" containsString="0" containsNumber="1" containsInteger="1" minValue="28000" maxValue="1969000"/>
    </cacheField>
    <cacheField name="TenureMonths" numFmtId="0">
      <sharedItems containsSemiMixedTypes="0" containsString="0" containsNumber="1" containsInteger="1" minValue="6" maxValue="60" count="6">
        <n v="24"/>
        <n v="6"/>
        <n v="36"/>
        <n v="12"/>
        <n v="48"/>
        <n v="60"/>
      </sharedItems>
    </cacheField>
    <cacheField name="InterestRate" numFmtId="165">
      <sharedItems containsSemiMixedTypes="0" containsString="0" containsNumber="1" minValue="9.1" maxValue="17.7"/>
    </cacheField>
    <cacheField name="EMIAmount" numFmtId="3">
      <sharedItems containsSemiMixedTypes="0" containsString="0" containsNumber="1" containsInteger="1" minValue="1283" maxValue="70867"/>
    </cacheField>
    <cacheField name="MonthsElapsed" numFmtId="0">
      <sharedItems containsSemiMixedTypes="0" containsString="0" containsNumber="1" containsInteger="1" minValue="1" maxValue="6"/>
    </cacheField>
    <cacheField name="InstallmentsPaid" numFmtId="0">
      <sharedItems containsSemiMixedTypes="0" containsString="0" containsNumber="1" containsInteger="1" minValue="0" maxValue="6"/>
    </cacheField>
    <cacheField name="AmountCollectedTillDate" numFmtId="3">
      <sharedItems containsSemiMixedTypes="0" containsString="0" containsNumber="1" containsInteger="1" minValue="0" maxValue="354335"/>
    </cacheField>
    <cacheField name="OutstandingPrincipal" numFmtId="3">
      <sharedItems containsSemiMixedTypes="0" containsString="0" containsNumber="1" containsInteger="1" minValue="0" maxValue="1881170"/>
    </cacheField>
    <cacheField name="DPD" numFmtId="0">
      <sharedItems containsSemiMixedTypes="0" containsString="0" containsNumber="1" containsInteger="1" minValue="0" maxValue="236" count="47">
        <n v="0"/>
        <n v="77"/>
        <n v="224"/>
        <n v="32"/>
        <n v="48"/>
        <n v="236"/>
        <n v="10"/>
        <n v="71"/>
        <n v="66"/>
        <n v="68"/>
        <n v="55"/>
        <n v="69"/>
        <n v="19"/>
        <n v="52"/>
        <n v="44"/>
        <n v="195"/>
        <n v="173"/>
        <n v="38"/>
        <n v="73"/>
        <n v="93"/>
        <n v="165"/>
        <n v="188"/>
        <n v="67"/>
        <n v="157"/>
        <n v="27"/>
        <n v="57"/>
        <n v="84"/>
        <n v="59"/>
        <n v="40"/>
        <n v="14"/>
        <n v="43"/>
        <n v="63"/>
        <n v="9"/>
        <n v="35"/>
        <n v="233"/>
        <n v="75"/>
        <n v="146"/>
        <n v="51"/>
        <n v="218"/>
        <n v="193"/>
        <n v="8"/>
        <n v="135"/>
        <n v="18"/>
        <n v="76"/>
        <n v="28"/>
        <n v="213"/>
        <n v="13"/>
      </sharedItems>
      <fieldGroup base="17">
        <rangePr autoStart="0" autoEnd="0" startNum="1" endNum="90" groupInterval="90"/>
        <groupItems count="3">
          <s v="&lt;1"/>
          <s v="1-90"/>
          <s v="&gt;91"/>
        </groupItems>
      </fieldGroup>
    </cacheField>
    <cacheField name="LoanStatus" numFmtId="0">
      <sharedItems count="3">
        <s v="Active"/>
        <s v="Overdue"/>
        <s v="NPA"/>
      </sharedItems>
    </cacheField>
    <cacheField name="InterestIncomeEarned" numFmtId="3">
      <sharedItems containsSemiMixedTypes="0" containsString="0" containsNumber="1" containsInteger="1" minValue="0" maxValue="122454" count="182">
        <n v="45360"/>
        <n v="2412"/>
        <n v="36803"/>
        <n v="15910"/>
        <n v="28000"/>
        <n v="7487"/>
        <n v="626"/>
        <n v="29028"/>
        <n v="0"/>
        <n v="45985"/>
        <n v="75717"/>
        <n v="20634"/>
        <n v="45000"/>
        <n v="37270"/>
        <n v="7608"/>
        <n v="17740"/>
        <n v="5983"/>
        <n v="7534"/>
        <n v="5405"/>
        <n v="9486"/>
        <n v="942"/>
        <n v="14951"/>
        <n v="19528"/>
        <n v="79768"/>
        <n v="28259"/>
        <n v="21928"/>
        <n v="120973"/>
        <n v="15354"/>
        <n v="11161"/>
        <n v="45573"/>
        <n v="10788"/>
        <n v="1959"/>
        <n v="2218"/>
        <n v="4200"/>
        <n v="3703"/>
        <n v="1251"/>
        <n v="15242"/>
        <n v="13915"/>
        <n v="4241"/>
        <n v="64406"/>
        <n v="14852"/>
        <n v="5164"/>
        <n v="4705"/>
        <n v="11846"/>
        <n v="9277"/>
        <n v="705"/>
        <n v="12564"/>
        <n v="6442"/>
        <n v="24923"/>
        <n v="10254"/>
        <n v="32346"/>
        <n v="27366"/>
        <n v="25547"/>
        <n v="16994"/>
        <n v="42189"/>
        <n v="969"/>
        <n v="10419"/>
        <n v="13452"/>
        <n v="61769"/>
        <n v="4256"/>
        <n v="2885"/>
        <n v="95637"/>
        <n v="17902"/>
        <n v="39351"/>
        <n v="13747"/>
        <n v="7675"/>
        <n v="103239"/>
        <n v="6823"/>
        <n v="1743"/>
        <n v="3537"/>
        <n v="35038"/>
        <n v="3978"/>
        <n v="699"/>
        <n v="4342"/>
        <n v="9444"/>
        <n v="88899"/>
        <n v="22214"/>
        <n v="64859"/>
        <n v="4903"/>
        <n v="10180"/>
        <n v="27355"/>
        <n v="28578"/>
        <n v="6125"/>
        <n v="53949"/>
        <n v="22665"/>
        <n v="20687"/>
        <n v="3832"/>
        <n v="2511"/>
        <n v="10238"/>
        <n v="4281"/>
        <n v="33163"/>
        <n v="9011"/>
        <n v="3692"/>
        <n v="25256"/>
        <n v="8340"/>
        <n v="2546"/>
        <n v="32416"/>
        <n v="14400"/>
        <n v="881"/>
        <n v="5427"/>
        <n v="10590"/>
        <n v="2909"/>
        <n v="122454"/>
        <n v="18340"/>
        <n v="24985"/>
        <n v="20878"/>
        <n v="5794"/>
        <n v="13767"/>
        <n v="22923"/>
        <n v="19694"/>
        <n v="23621"/>
        <n v="5243"/>
        <n v="8674"/>
        <n v="4556"/>
        <n v="7057"/>
        <n v="53828"/>
        <n v="26211"/>
        <n v="3263"/>
        <n v="23334"/>
        <n v="2160"/>
        <n v="4452"/>
        <n v="2266"/>
        <n v="3857"/>
        <n v="6730"/>
        <n v="11761"/>
        <n v="5784"/>
        <n v="1494"/>
        <n v="20063"/>
        <n v="56692"/>
        <n v="43022"/>
        <n v="7749"/>
        <n v="3164"/>
        <n v="17542"/>
        <n v="10855"/>
        <n v="6099"/>
        <n v="8544"/>
        <n v="4889"/>
        <n v="44354"/>
        <n v="8392"/>
        <n v="23467"/>
        <n v="21075"/>
        <n v="27259"/>
        <n v="21505"/>
        <n v="8819"/>
        <n v="39261"/>
        <n v="5250"/>
        <n v="1395"/>
        <n v="15618"/>
        <n v="23802"/>
        <n v="20863"/>
        <n v="12668"/>
        <n v="17761"/>
        <n v="41975"/>
        <n v="45626"/>
        <n v="6135"/>
        <n v="16153"/>
        <n v="15424"/>
        <n v="1837"/>
        <n v="18891"/>
        <n v="1092"/>
        <n v="40181"/>
        <n v="7475"/>
        <n v="25236"/>
        <n v="27137"/>
        <n v="29259"/>
        <n v="4443"/>
        <n v="13540"/>
        <n v="37463"/>
        <n v="6580"/>
        <n v="25022"/>
        <n v="30614"/>
        <n v="2576"/>
        <n v="29833"/>
        <n v="1074"/>
        <n v="7403"/>
        <n v="22985"/>
        <n v="20727"/>
        <n v="2119"/>
        <n v="30023"/>
        <n v="29915"/>
        <n v="10841"/>
        <n v="37609"/>
      </sharedItems>
    </cacheField>
    <cacheField name="Days (DisbursementDate)" numFmtId="0" databaseField="0">
      <fieldGroup base="8">
        <rangePr groupBy="days" startDate="2024-01-01T00:00:00" endDate="2024-06-26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6-2024"/>
        </groupItems>
      </fieldGroup>
    </cacheField>
    <cacheField name="Months (DisbursementDate)" numFmtId="0" databaseField="0">
      <fieldGroup base="8">
        <rangePr groupBy="months" startDate="2024-01-01T00:00:00" endDate="2024-06-26T00:00:00"/>
        <groupItems count="14">
          <s v="&lt;01-01-2024"/>
          <s v="Jan"/>
          <s v="Feb"/>
          <s v="Mar"/>
          <s v="Apr"/>
          <s v="May"/>
          <s v="Jun"/>
          <s v="Jul"/>
          <s v="Aug"/>
          <s v="Sep"/>
          <s v="Oct"/>
          <s v="Nov"/>
          <s v="Dec"/>
          <s v="&gt;26-06-2024"/>
        </groupItems>
      </fieldGroup>
    </cacheField>
    <cacheField name="%outstanding" numFmtId="0" formula="LoanAmount/AmountCollectedTillDate" databaseField="0"/>
    <cacheField name="%" numFmtId="0" formula="AmountCollectedTillDate/LoanAmount" databaseField="0"/>
    <cacheField name="outst%" numFmtId="0" formula="OutstandingPrincipal/LoanAmount" databaseField="0"/>
    <cacheField name="%prof" numFmtId="0" formula="InterestIncomeEarned/LoanAmount" databaseField="0"/>
  </cacheFields>
  <extLst>
    <ext xmlns:x14="http://schemas.microsoft.com/office/spreadsheetml/2009/9/main" uri="{725AE2AE-9491-48be-B2B4-4EB974FC3084}">
      <x14:pivotCacheDefinition pivotCacheId="1979245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SFL-10001"/>
    <x v="0"/>
    <x v="0"/>
    <x v="0"/>
    <s v="CUS-4001"/>
    <x v="0"/>
    <x v="0"/>
    <x v="0"/>
    <x v="0"/>
    <n v="989000"/>
    <x v="0"/>
    <n v="11.9"/>
    <n v="46509"/>
    <n v="5"/>
    <n v="5"/>
    <n v="232545"/>
    <n v="801815"/>
    <x v="0"/>
    <x v="0"/>
    <x v="0"/>
  </r>
  <r>
    <s v="SFL-10002"/>
    <x v="1"/>
    <x v="1"/>
    <x v="1"/>
    <s v="CUS-4002"/>
    <x v="1"/>
    <x v="1"/>
    <x v="1"/>
    <x v="1"/>
    <n v="281000"/>
    <x v="1"/>
    <n v="10.3"/>
    <n v="48250"/>
    <n v="1"/>
    <n v="1"/>
    <n v="48250"/>
    <n v="235162"/>
    <x v="0"/>
    <x v="0"/>
    <x v="1"/>
  </r>
  <r>
    <s v="SFL-10003"/>
    <x v="2"/>
    <x v="2"/>
    <x v="2"/>
    <s v="CUS-4003"/>
    <x v="1"/>
    <x v="2"/>
    <x v="2"/>
    <x v="2"/>
    <n v="481000"/>
    <x v="2"/>
    <n v="16.2"/>
    <n v="16958"/>
    <n v="6"/>
    <n v="6"/>
    <n v="101748"/>
    <n v="416055"/>
    <x v="0"/>
    <x v="0"/>
    <x v="2"/>
  </r>
  <r>
    <s v="SFL-10004"/>
    <x v="1"/>
    <x v="1"/>
    <x v="2"/>
    <s v="CUS-4004"/>
    <x v="0"/>
    <x v="3"/>
    <x v="0"/>
    <x v="3"/>
    <n v="254000"/>
    <x v="0"/>
    <n v="16.2"/>
    <n v="12461"/>
    <n v="5"/>
    <n v="5"/>
    <n v="62305"/>
    <n v="207605"/>
    <x v="0"/>
    <x v="0"/>
    <x v="3"/>
  </r>
  <r>
    <s v="SFL-10005"/>
    <x v="3"/>
    <x v="2"/>
    <x v="2"/>
    <s v="CUS-4005"/>
    <x v="2"/>
    <x v="4"/>
    <x v="3"/>
    <x v="4"/>
    <n v="401000"/>
    <x v="2"/>
    <n v="14.8"/>
    <n v="13862"/>
    <n v="6"/>
    <n v="6"/>
    <n v="83172"/>
    <n v="345828"/>
    <x v="0"/>
    <x v="0"/>
    <x v="4"/>
  </r>
  <r>
    <s v="SFL-10006"/>
    <x v="3"/>
    <x v="2"/>
    <x v="1"/>
    <s v="CUS-4006"/>
    <x v="0"/>
    <x v="2"/>
    <x v="2"/>
    <x v="5"/>
    <n v="278000"/>
    <x v="3"/>
    <n v="11.7"/>
    <n v="24661"/>
    <n v="3"/>
    <n v="3"/>
    <n v="73983"/>
    <n v="211504"/>
    <x v="0"/>
    <x v="0"/>
    <x v="5"/>
  </r>
  <r>
    <s v="SFL-10007"/>
    <x v="2"/>
    <x v="2"/>
    <x v="1"/>
    <s v="CUS-4007"/>
    <x v="2"/>
    <x v="3"/>
    <x v="0"/>
    <x v="6"/>
    <n v="28000"/>
    <x v="0"/>
    <n v="9.3000000000000007"/>
    <n v="1283"/>
    <n v="6"/>
    <n v="3"/>
    <n v="3849"/>
    <n v="24777"/>
    <x v="1"/>
    <x v="1"/>
    <x v="6"/>
  </r>
  <r>
    <s v="SFL-10008"/>
    <x v="0"/>
    <x v="0"/>
    <x v="3"/>
    <s v="CUS-4008"/>
    <x v="2"/>
    <x v="5"/>
    <x v="2"/>
    <x v="7"/>
    <n v="785000"/>
    <x v="2"/>
    <n v="11.5"/>
    <n v="25886"/>
    <n v="4"/>
    <n v="4"/>
    <n v="103544"/>
    <n v="710484"/>
    <x v="0"/>
    <x v="0"/>
    <x v="7"/>
  </r>
  <r>
    <s v="SFL-10009"/>
    <x v="4"/>
    <x v="3"/>
    <x v="2"/>
    <s v="CUS-4009"/>
    <x v="0"/>
    <x v="2"/>
    <x v="2"/>
    <x v="8"/>
    <n v="126000"/>
    <x v="3"/>
    <n v="17.7"/>
    <n v="11534"/>
    <n v="5"/>
    <n v="0"/>
    <n v="0"/>
    <n v="126000"/>
    <x v="2"/>
    <x v="2"/>
    <x v="8"/>
  </r>
  <r>
    <s v="SFL-10010"/>
    <x v="0"/>
    <x v="0"/>
    <x v="4"/>
    <s v="CUS-4010"/>
    <x v="0"/>
    <x v="0"/>
    <x v="0"/>
    <x v="9"/>
    <n v="1931000"/>
    <x v="4"/>
    <n v="14.4"/>
    <n v="53156"/>
    <n v="3"/>
    <n v="2"/>
    <n v="106312"/>
    <n v="1870673"/>
    <x v="3"/>
    <x v="1"/>
    <x v="9"/>
  </r>
  <r>
    <s v="SFL-10011"/>
    <x v="5"/>
    <x v="0"/>
    <x v="0"/>
    <s v="CUS-4011"/>
    <x v="1"/>
    <x v="6"/>
    <x v="2"/>
    <x v="10"/>
    <n v="1227000"/>
    <x v="2"/>
    <n v="13.1"/>
    <n v="41402"/>
    <n v="6"/>
    <n v="6"/>
    <n v="248412"/>
    <n v="1054305"/>
    <x v="0"/>
    <x v="0"/>
    <x v="10"/>
  </r>
  <r>
    <s v="SFL-10012"/>
    <x v="4"/>
    <x v="3"/>
    <x v="0"/>
    <s v="CUS-4012"/>
    <x v="2"/>
    <x v="7"/>
    <x v="1"/>
    <x v="11"/>
    <n v="448000"/>
    <x v="2"/>
    <n v="11.6"/>
    <n v="14795"/>
    <n v="5"/>
    <n v="5"/>
    <n v="73975"/>
    <n v="394659"/>
    <x v="0"/>
    <x v="0"/>
    <x v="11"/>
  </r>
  <r>
    <s v="SFL-10013"/>
    <x v="6"/>
    <x v="1"/>
    <x v="4"/>
    <s v="CUS-4013"/>
    <x v="1"/>
    <x v="8"/>
    <x v="1"/>
    <x v="12"/>
    <n v="1926000"/>
    <x v="5"/>
    <n v="14.1"/>
    <n v="44915"/>
    <n v="4"/>
    <n v="2"/>
    <n v="89830"/>
    <n v="1881170"/>
    <x v="4"/>
    <x v="1"/>
    <x v="12"/>
  </r>
  <r>
    <s v="SFL-10014"/>
    <x v="2"/>
    <x v="2"/>
    <x v="3"/>
    <s v="CUS-4014"/>
    <x v="2"/>
    <x v="9"/>
    <x v="2"/>
    <x v="13"/>
    <n v="727000"/>
    <x v="2"/>
    <n v="12.9"/>
    <n v="24461"/>
    <n v="5"/>
    <n v="5"/>
    <n v="122305"/>
    <n v="641965"/>
    <x v="0"/>
    <x v="0"/>
    <x v="13"/>
  </r>
  <r>
    <s v="SFL-10015"/>
    <x v="3"/>
    <x v="2"/>
    <x v="2"/>
    <s v="CUS-4015"/>
    <x v="2"/>
    <x v="10"/>
    <x v="2"/>
    <x v="14"/>
    <n v="169000"/>
    <x v="3"/>
    <n v="15.3"/>
    <n v="15278"/>
    <n v="4"/>
    <n v="4"/>
    <n v="61112"/>
    <n v="115496"/>
    <x v="0"/>
    <x v="0"/>
    <x v="14"/>
  </r>
  <r>
    <s v="SFL-10016"/>
    <x v="5"/>
    <x v="0"/>
    <x v="4"/>
    <s v="CUS-4016"/>
    <x v="2"/>
    <x v="11"/>
    <x v="0"/>
    <x v="15"/>
    <n v="371000"/>
    <x v="0"/>
    <n v="12.4"/>
    <n v="17534"/>
    <n v="5"/>
    <n v="5"/>
    <n v="87670"/>
    <n v="301070"/>
    <x v="0"/>
    <x v="0"/>
    <x v="15"/>
  </r>
  <r>
    <s v="SFL-10017"/>
    <x v="4"/>
    <x v="3"/>
    <x v="1"/>
    <s v="CUS-4017"/>
    <x v="1"/>
    <x v="12"/>
    <x v="1"/>
    <x v="3"/>
    <n v="171000"/>
    <x v="3"/>
    <n v="10"/>
    <n v="15034"/>
    <n v="5"/>
    <n v="5"/>
    <n v="75170"/>
    <n v="101813"/>
    <x v="0"/>
    <x v="0"/>
    <x v="16"/>
  </r>
  <r>
    <s v="SFL-10018"/>
    <x v="5"/>
    <x v="0"/>
    <x v="3"/>
    <s v="CUS-4018"/>
    <x v="1"/>
    <x v="13"/>
    <x v="2"/>
    <x v="16"/>
    <n v="583000"/>
    <x v="0"/>
    <n v="14.5"/>
    <n v="28129"/>
    <n v="3"/>
    <n v="0"/>
    <n v="0"/>
    <n v="583000"/>
    <x v="5"/>
    <x v="2"/>
    <x v="8"/>
  </r>
  <r>
    <s v="SFL-10019"/>
    <x v="5"/>
    <x v="0"/>
    <x v="1"/>
    <s v="CUS-4019"/>
    <x v="1"/>
    <x v="14"/>
    <x v="1"/>
    <x v="17"/>
    <n v="290000"/>
    <x v="0"/>
    <n v="10.8"/>
    <n v="13489"/>
    <n v="3"/>
    <n v="3"/>
    <n v="40467"/>
    <n v="257067"/>
    <x v="0"/>
    <x v="0"/>
    <x v="17"/>
  </r>
  <r>
    <s v="SFL-10020"/>
    <x v="7"/>
    <x v="3"/>
    <x v="3"/>
    <s v="CUS-4020"/>
    <x v="2"/>
    <x v="15"/>
    <x v="2"/>
    <x v="18"/>
    <n v="124000"/>
    <x v="4"/>
    <n v="13.4"/>
    <n v="3351"/>
    <n v="4"/>
    <n v="4"/>
    <n v="13404"/>
    <n v="116001"/>
    <x v="0"/>
    <x v="0"/>
    <x v="18"/>
  </r>
  <r>
    <s v="SFL-10021"/>
    <x v="5"/>
    <x v="0"/>
    <x v="3"/>
    <s v="CUS-4021"/>
    <x v="1"/>
    <x v="16"/>
    <x v="2"/>
    <x v="19"/>
    <n v="661000"/>
    <x v="4"/>
    <n v="14.9"/>
    <n v="18363"/>
    <n v="1"/>
    <n v="0"/>
    <n v="0"/>
    <n v="661000"/>
    <x v="6"/>
    <x v="1"/>
    <x v="8"/>
  </r>
  <r>
    <s v="SFL-10022"/>
    <x v="6"/>
    <x v="1"/>
    <x v="3"/>
    <s v="CUS-4022"/>
    <x v="0"/>
    <x v="17"/>
    <x v="0"/>
    <x v="20"/>
    <n v="516000"/>
    <x v="5"/>
    <n v="11.1"/>
    <n v="11245"/>
    <n v="2"/>
    <n v="2"/>
    <n v="22490"/>
    <n v="502996"/>
    <x v="0"/>
    <x v="0"/>
    <x v="19"/>
  </r>
  <r>
    <s v="SFL-10023"/>
    <x v="1"/>
    <x v="1"/>
    <x v="2"/>
    <s v="CUS-4023"/>
    <x v="0"/>
    <x v="18"/>
    <x v="2"/>
    <x v="19"/>
    <n v="72000"/>
    <x v="3"/>
    <n v="15.7"/>
    <n v="6522"/>
    <n v="1"/>
    <n v="1"/>
    <n v="6522"/>
    <n v="66420"/>
    <x v="0"/>
    <x v="0"/>
    <x v="20"/>
  </r>
  <r>
    <s v="SFL-10024"/>
    <x v="0"/>
    <x v="0"/>
    <x v="0"/>
    <s v="CUS-4024"/>
    <x v="1"/>
    <x v="19"/>
    <x v="3"/>
    <x v="21"/>
    <n v="558000"/>
    <x v="4"/>
    <n v="10.9"/>
    <n v="14395"/>
    <n v="3"/>
    <n v="3"/>
    <n v="43185"/>
    <n v="529766"/>
    <x v="0"/>
    <x v="0"/>
    <x v="21"/>
  </r>
  <r>
    <s v="SFL-10025"/>
    <x v="0"/>
    <x v="0"/>
    <x v="3"/>
    <s v="CUS-4025"/>
    <x v="1"/>
    <x v="20"/>
    <x v="0"/>
    <x v="22"/>
    <n v="551000"/>
    <x v="4"/>
    <n v="14.4"/>
    <n v="15168"/>
    <n v="3"/>
    <n v="3"/>
    <n v="45504"/>
    <n v="525024"/>
    <x v="0"/>
    <x v="0"/>
    <x v="22"/>
  </r>
  <r>
    <s v="SFL-10026"/>
    <x v="3"/>
    <x v="2"/>
    <x v="4"/>
    <s v="CUS-4026"/>
    <x v="2"/>
    <x v="7"/>
    <x v="1"/>
    <x v="4"/>
    <n v="763000"/>
    <x v="5"/>
    <n v="13.2"/>
    <n v="17439"/>
    <n v="6"/>
    <n v="0"/>
    <n v="0"/>
    <n v="763000"/>
    <x v="2"/>
    <x v="2"/>
    <x v="8"/>
  </r>
  <r>
    <s v="SFL-10027"/>
    <x v="7"/>
    <x v="3"/>
    <x v="0"/>
    <s v="CUS-4027"/>
    <x v="2"/>
    <x v="21"/>
    <x v="0"/>
    <x v="8"/>
    <n v="1476000"/>
    <x v="0"/>
    <n v="14"/>
    <n v="70867"/>
    <n v="5"/>
    <n v="5"/>
    <n v="354335"/>
    <n v="1201433"/>
    <x v="0"/>
    <x v="0"/>
    <x v="23"/>
  </r>
  <r>
    <s v="SFL-10028"/>
    <x v="0"/>
    <x v="0"/>
    <x v="2"/>
    <s v="CUS-4028"/>
    <x v="1"/>
    <x v="0"/>
    <x v="0"/>
    <x v="23"/>
    <n v="478000"/>
    <x v="0"/>
    <n v="15.3"/>
    <n v="23245"/>
    <n v="5"/>
    <n v="5"/>
    <n v="116225"/>
    <n v="390034"/>
    <x v="0"/>
    <x v="0"/>
    <x v="24"/>
  </r>
  <r>
    <s v="SFL-10029"/>
    <x v="7"/>
    <x v="3"/>
    <x v="4"/>
    <s v="CUS-4029"/>
    <x v="0"/>
    <x v="9"/>
    <x v="2"/>
    <x v="24"/>
    <n v="1893000"/>
    <x v="5"/>
    <n v="13.9"/>
    <n v="43949"/>
    <n v="1"/>
    <n v="1"/>
    <n v="43949"/>
    <n v="1870979"/>
    <x v="0"/>
    <x v="0"/>
    <x v="25"/>
  </r>
  <r>
    <s v="SFL-10030"/>
    <x v="4"/>
    <x v="3"/>
    <x v="4"/>
    <s v="CUS-4030"/>
    <x v="2"/>
    <x v="2"/>
    <x v="2"/>
    <x v="25"/>
    <n v="1955000"/>
    <x v="4"/>
    <n v="12.9"/>
    <n v="52351"/>
    <n v="6"/>
    <n v="6"/>
    <n v="314106"/>
    <n v="1761867"/>
    <x v="0"/>
    <x v="0"/>
    <x v="26"/>
  </r>
  <r>
    <s v="SFL-10031"/>
    <x v="6"/>
    <x v="1"/>
    <x v="3"/>
    <s v="CUS-4031"/>
    <x v="2"/>
    <x v="7"/>
    <x v="1"/>
    <x v="26"/>
    <n v="381000"/>
    <x v="0"/>
    <n v="12.8"/>
    <n v="18078"/>
    <n v="6"/>
    <n v="4"/>
    <n v="72312"/>
    <n v="324042"/>
    <x v="4"/>
    <x v="1"/>
    <x v="27"/>
  </r>
  <r>
    <s v="SFL-10032"/>
    <x v="6"/>
    <x v="1"/>
    <x v="4"/>
    <s v="CUS-4032"/>
    <x v="2"/>
    <x v="22"/>
    <x v="3"/>
    <x v="27"/>
    <n v="443000"/>
    <x v="5"/>
    <n v="15.2"/>
    <n v="10586"/>
    <n v="4"/>
    <n v="2"/>
    <n v="21172"/>
    <n v="432989"/>
    <x v="7"/>
    <x v="1"/>
    <x v="28"/>
  </r>
  <r>
    <s v="SFL-10033"/>
    <x v="5"/>
    <x v="0"/>
    <x v="3"/>
    <s v="CUS-4033"/>
    <x v="1"/>
    <x v="4"/>
    <x v="3"/>
    <x v="28"/>
    <n v="652000"/>
    <x v="5"/>
    <n v="14.4"/>
    <n v="15306"/>
    <n v="6"/>
    <n v="6"/>
    <n v="91836"/>
    <n v="605737"/>
    <x v="0"/>
    <x v="0"/>
    <x v="29"/>
  </r>
  <r>
    <s v="SFL-10034"/>
    <x v="5"/>
    <x v="0"/>
    <x v="2"/>
    <s v="CUS-4034"/>
    <x v="2"/>
    <x v="3"/>
    <x v="0"/>
    <x v="9"/>
    <n v="274000"/>
    <x v="2"/>
    <n v="16.100000000000001"/>
    <n v="9647"/>
    <n v="3"/>
    <n v="3"/>
    <n v="28941"/>
    <n v="255847"/>
    <x v="0"/>
    <x v="0"/>
    <x v="30"/>
  </r>
  <r>
    <s v="SFL-10035"/>
    <x v="4"/>
    <x v="3"/>
    <x v="1"/>
    <s v="CUS-4035"/>
    <x v="2"/>
    <x v="23"/>
    <x v="3"/>
    <x v="29"/>
    <n v="63000"/>
    <x v="0"/>
    <n v="9.9"/>
    <n v="2904"/>
    <n v="6"/>
    <n v="4"/>
    <n v="11616"/>
    <n v="53343"/>
    <x v="8"/>
    <x v="1"/>
    <x v="31"/>
  </r>
  <r>
    <s v="SFL-10036"/>
    <x v="1"/>
    <x v="1"/>
    <x v="1"/>
    <s v="CUS-4036"/>
    <x v="2"/>
    <x v="3"/>
    <x v="0"/>
    <x v="14"/>
    <n v="96000"/>
    <x v="1"/>
    <n v="9.1999999999999993"/>
    <n v="16432"/>
    <n v="4"/>
    <n v="4"/>
    <n v="65728"/>
    <n v="32490"/>
    <x v="0"/>
    <x v="0"/>
    <x v="32"/>
  </r>
  <r>
    <s v="SFL-10037"/>
    <x v="3"/>
    <x v="2"/>
    <x v="2"/>
    <s v="CUS-4037"/>
    <x v="0"/>
    <x v="10"/>
    <x v="2"/>
    <x v="30"/>
    <n v="97000"/>
    <x v="2"/>
    <n v="17.7"/>
    <n v="3492"/>
    <n v="5"/>
    <n v="3"/>
    <n v="10476"/>
    <n v="90724"/>
    <x v="9"/>
    <x v="1"/>
    <x v="33"/>
  </r>
  <r>
    <s v="SFL-10038"/>
    <x v="3"/>
    <x v="2"/>
    <x v="1"/>
    <s v="CUS-4038"/>
    <x v="2"/>
    <x v="5"/>
    <x v="2"/>
    <x v="31"/>
    <n v="252000"/>
    <x v="1"/>
    <n v="9.6"/>
    <n v="43184"/>
    <n v="2"/>
    <n v="2"/>
    <n v="86368"/>
    <n v="169335"/>
    <x v="0"/>
    <x v="0"/>
    <x v="34"/>
  </r>
  <r>
    <s v="SFL-10039"/>
    <x v="5"/>
    <x v="0"/>
    <x v="1"/>
    <s v="CUS-4039"/>
    <x v="1"/>
    <x v="9"/>
    <x v="2"/>
    <x v="1"/>
    <n v="158000"/>
    <x v="3"/>
    <n v="9.5"/>
    <n v="13854"/>
    <n v="1"/>
    <n v="1"/>
    <n v="13854"/>
    <n v="145397"/>
    <x v="0"/>
    <x v="0"/>
    <x v="35"/>
  </r>
  <r>
    <s v="SFL-10040"/>
    <x v="6"/>
    <x v="1"/>
    <x v="0"/>
    <s v="CUS-4040"/>
    <x v="0"/>
    <x v="23"/>
    <x v="3"/>
    <x v="32"/>
    <n v="394000"/>
    <x v="4"/>
    <n v="11.9"/>
    <n v="10356"/>
    <n v="4"/>
    <n v="4"/>
    <n v="41424"/>
    <n v="367818"/>
    <x v="0"/>
    <x v="0"/>
    <x v="36"/>
  </r>
  <r>
    <s v="SFL-10041"/>
    <x v="6"/>
    <x v="1"/>
    <x v="4"/>
    <s v="CUS-4041"/>
    <x v="1"/>
    <x v="1"/>
    <x v="1"/>
    <x v="31"/>
    <n v="528000"/>
    <x v="5"/>
    <n v="15.9"/>
    <n v="12812"/>
    <n v="2"/>
    <n v="2"/>
    <n v="25624"/>
    <n v="516291"/>
    <x v="0"/>
    <x v="0"/>
    <x v="37"/>
  </r>
  <r>
    <s v="SFL-10042"/>
    <x v="2"/>
    <x v="2"/>
    <x v="2"/>
    <s v="CUS-4042"/>
    <x v="2"/>
    <x v="2"/>
    <x v="2"/>
    <x v="33"/>
    <n v="158000"/>
    <x v="0"/>
    <n v="16.399999999999999"/>
    <n v="7766"/>
    <n v="2"/>
    <n v="2"/>
    <n v="15532"/>
    <n v="146709"/>
    <x v="0"/>
    <x v="0"/>
    <x v="38"/>
  </r>
  <r>
    <s v="SFL-10043"/>
    <x v="3"/>
    <x v="2"/>
    <x v="4"/>
    <s v="CUS-4043"/>
    <x v="2"/>
    <x v="6"/>
    <x v="2"/>
    <x v="34"/>
    <n v="1535000"/>
    <x v="4"/>
    <n v="12.9"/>
    <n v="41104"/>
    <n v="6"/>
    <n v="4"/>
    <n v="164416"/>
    <n v="1434990"/>
    <x v="10"/>
    <x v="1"/>
    <x v="39"/>
  </r>
  <r>
    <s v="SFL-10044"/>
    <x v="2"/>
    <x v="2"/>
    <x v="4"/>
    <s v="CUS-4044"/>
    <x v="0"/>
    <x v="1"/>
    <x v="1"/>
    <x v="35"/>
    <n v="1371000"/>
    <x v="5"/>
    <n v="13"/>
    <n v="31194"/>
    <n v="3"/>
    <n v="1"/>
    <n v="31194"/>
    <n v="1354658"/>
    <x v="11"/>
    <x v="1"/>
    <x v="40"/>
  </r>
  <r>
    <s v="SFL-10045"/>
    <x v="3"/>
    <x v="2"/>
    <x v="2"/>
    <s v="CUS-4045"/>
    <x v="0"/>
    <x v="24"/>
    <x v="1"/>
    <x v="36"/>
    <n v="405000"/>
    <x v="0"/>
    <n v="15.3"/>
    <n v="19695"/>
    <n v="1"/>
    <n v="1"/>
    <n v="19695"/>
    <n v="390469"/>
    <x v="0"/>
    <x v="0"/>
    <x v="41"/>
  </r>
  <r>
    <s v="SFL-10046"/>
    <x v="3"/>
    <x v="2"/>
    <x v="0"/>
    <s v="CUS-4046"/>
    <x v="0"/>
    <x v="25"/>
    <x v="0"/>
    <x v="37"/>
    <n v="146000"/>
    <x v="4"/>
    <n v="13.1"/>
    <n v="3924"/>
    <n v="5"/>
    <n v="3"/>
    <n v="11772"/>
    <n v="138933"/>
    <x v="7"/>
    <x v="1"/>
    <x v="42"/>
  </r>
  <r>
    <s v="SFL-10047"/>
    <x v="3"/>
    <x v="2"/>
    <x v="2"/>
    <s v="CUS-4047"/>
    <x v="0"/>
    <x v="25"/>
    <x v="0"/>
    <x v="38"/>
    <n v="217000"/>
    <x v="0"/>
    <n v="17.3"/>
    <n v="10760"/>
    <n v="4"/>
    <n v="4"/>
    <n v="43040"/>
    <n v="185806"/>
    <x v="0"/>
    <x v="0"/>
    <x v="43"/>
  </r>
  <r>
    <s v="SFL-10048"/>
    <x v="3"/>
    <x v="2"/>
    <x v="1"/>
    <s v="CUS-4048"/>
    <x v="2"/>
    <x v="25"/>
    <x v="0"/>
    <x v="39"/>
    <n v="230000"/>
    <x v="3"/>
    <n v="10.1"/>
    <n v="20231"/>
    <n v="6"/>
    <n v="6"/>
    <n v="121386"/>
    <n v="117891"/>
    <x v="0"/>
    <x v="0"/>
    <x v="44"/>
  </r>
  <r>
    <s v="SFL-10049"/>
    <x v="4"/>
    <x v="3"/>
    <x v="1"/>
    <s v="CUS-4049"/>
    <x v="1"/>
    <x v="6"/>
    <x v="2"/>
    <x v="40"/>
    <n v="90000"/>
    <x v="3"/>
    <n v="9.4"/>
    <n v="7887"/>
    <n v="1"/>
    <n v="1"/>
    <n v="7887"/>
    <n v="82818"/>
    <x v="0"/>
    <x v="0"/>
    <x v="45"/>
  </r>
  <r>
    <s v="SFL-10050"/>
    <x v="0"/>
    <x v="0"/>
    <x v="0"/>
    <s v="CUS-4050"/>
    <x v="2"/>
    <x v="17"/>
    <x v="0"/>
    <x v="41"/>
    <n v="405000"/>
    <x v="2"/>
    <n v="12.7"/>
    <n v="13588"/>
    <n v="4"/>
    <n v="3"/>
    <n v="40764"/>
    <n v="376800"/>
    <x v="12"/>
    <x v="1"/>
    <x v="46"/>
  </r>
  <r>
    <s v="SFL-10051"/>
    <x v="4"/>
    <x v="3"/>
    <x v="1"/>
    <s v="CUS-4051"/>
    <x v="2"/>
    <x v="0"/>
    <x v="0"/>
    <x v="42"/>
    <n v="215000"/>
    <x v="1"/>
    <n v="10.199999999999999"/>
    <n v="36907"/>
    <n v="6"/>
    <n v="6"/>
    <n v="221442"/>
    <n v="0"/>
    <x v="0"/>
    <x v="0"/>
    <x v="47"/>
  </r>
  <r>
    <s v="SFL-10052"/>
    <x v="2"/>
    <x v="2"/>
    <x v="3"/>
    <s v="CUS-4052"/>
    <x v="2"/>
    <x v="26"/>
    <x v="3"/>
    <x v="43"/>
    <n v="453000"/>
    <x v="5"/>
    <n v="13.2"/>
    <n v="10354"/>
    <n v="1"/>
    <n v="0"/>
    <n v="0"/>
    <n v="453000"/>
    <x v="13"/>
    <x v="1"/>
    <x v="8"/>
  </r>
  <r>
    <s v="SFL-10053"/>
    <x v="2"/>
    <x v="2"/>
    <x v="3"/>
    <s v="CUS-4053"/>
    <x v="1"/>
    <x v="25"/>
    <x v="0"/>
    <x v="13"/>
    <n v="490000"/>
    <x v="2"/>
    <n v="12.8"/>
    <n v="16463"/>
    <n v="5"/>
    <n v="5"/>
    <n v="82315"/>
    <n v="432608"/>
    <x v="0"/>
    <x v="0"/>
    <x v="48"/>
  </r>
  <r>
    <s v="SFL-10054"/>
    <x v="6"/>
    <x v="1"/>
    <x v="0"/>
    <s v="CUS-4054"/>
    <x v="0"/>
    <x v="27"/>
    <x v="2"/>
    <x v="27"/>
    <n v="316000"/>
    <x v="2"/>
    <n v="10.1"/>
    <n v="10211"/>
    <n v="4"/>
    <n v="4"/>
    <n v="40844"/>
    <n v="285410"/>
    <x v="0"/>
    <x v="0"/>
    <x v="49"/>
  </r>
  <r>
    <s v="SFL-10055"/>
    <x v="3"/>
    <x v="2"/>
    <x v="4"/>
    <s v="CUS-4055"/>
    <x v="1"/>
    <x v="28"/>
    <x v="0"/>
    <x v="34"/>
    <n v="473000"/>
    <x v="2"/>
    <n v="14.5"/>
    <n v="16281"/>
    <n v="6"/>
    <n v="6"/>
    <n v="97686"/>
    <n v="407660"/>
    <x v="0"/>
    <x v="0"/>
    <x v="50"/>
  </r>
  <r>
    <s v="SFL-10056"/>
    <x v="6"/>
    <x v="1"/>
    <x v="2"/>
    <s v="CUS-4056"/>
    <x v="1"/>
    <x v="29"/>
    <x v="0"/>
    <x v="25"/>
    <n v="392000"/>
    <x v="2"/>
    <n v="14.8"/>
    <n v="13550"/>
    <n v="6"/>
    <n v="6"/>
    <n v="81300"/>
    <n v="338066"/>
    <x v="0"/>
    <x v="0"/>
    <x v="51"/>
  </r>
  <r>
    <s v="SFL-10057"/>
    <x v="5"/>
    <x v="0"/>
    <x v="4"/>
    <s v="CUS-4057"/>
    <x v="0"/>
    <x v="15"/>
    <x v="2"/>
    <x v="12"/>
    <n v="567000"/>
    <x v="0"/>
    <n v="14.3"/>
    <n v="27304"/>
    <n v="4"/>
    <n v="4"/>
    <n v="109216"/>
    <n v="483331"/>
    <x v="0"/>
    <x v="0"/>
    <x v="52"/>
  </r>
  <r>
    <s v="SFL-10058"/>
    <x v="7"/>
    <x v="3"/>
    <x v="2"/>
    <s v="CUS-4058"/>
    <x v="2"/>
    <x v="20"/>
    <x v="0"/>
    <x v="44"/>
    <n v="310000"/>
    <x v="0"/>
    <n v="14.2"/>
    <n v="14913"/>
    <n v="5"/>
    <n v="5"/>
    <n v="74565"/>
    <n v="252429"/>
    <x v="0"/>
    <x v="0"/>
    <x v="53"/>
  </r>
  <r>
    <s v="SFL-10059"/>
    <x v="6"/>
    <x v="1"/>
    <x v="0"/>
    <s v="CUS-4059"/>
    <x v="0"/>
    <x v="27"/>
    <x v="2"/>
    <x v="14"/>
    <n v="1108000"/>
    <x v="0"/>
    <n v="12.1"/>
    <n v="52209"/>
    <n v="4"/>
    <n v="4"/>
    <n v="208836"/>
    <n v="941353"/>
    <x v="0"/>
    <x v="0"/>
    <x v="54"/>
  </r>
  <r>
    <s v="SFL-10060"/>
    <x v="7"/>
    <x v="3"/>
    <x v="1"/>
    <s v="CUS-4060"/>
    <x v="0"/>
    <x v="16"/>
    <x v="2"/>
    <x v="13"/>
    <n v="35000"/>
    <x v="1"/>
    <n v="9.9"/>
    <n v="6003"/>
    <n v="5"/>
    <n v="5"/>
    <n v="30015"/>
    <n v="5954"/>
    <x v="0"/>
    <x v="0"/>
    <x v="55"/>
  </r>
  <r>
    <s v="SFL-10061"/>
    <x v="7"/>
    <x v="3"/>
    <x v="0"/>
    <s v="CUS-4061"/>
    <x v="1"/>
    <x v="22"/>
    <x v="3"/>
    <x v="45"/>
    <n v="257000"/>
    <x v="2"/>
    <n v="12.6"/>
    <n v="8610"/>
    <n v="4"/>
    <n v="4"/>
    <n v="34440"/>
    <n v="232979"/>
    <x v="0"/>
    <x v="0"/>
    <x v="56"/>
  </r>
  <r>
    <s v="SFL-10062"/>
    <x v="3"/>
    <x v="2"/>
    <x v="0"/>
    <s v="CUS-4062"/>
    <x v="1"/>
    <x v="19"/>
    <x v="3"/>
    <x v="46"/>
    <n v="405000"/>
    <x v="4"/>
    <n v="13.5"/>
    <n v="10966"/>
    <n v="3"/>
    <n v="3"/>
    <n v="32898"/>
    <n v="385554"/>
    <x v="0"/>
    <x v="0"/>
    <x v="57"/>
  </r>
  <r>
    <s v="SFL-10063"/>
    <x v="7"/>
    <x v="3"/>
    <x v="4"/>
    <s v="CUS-4063"/>
    <x v="1"/>
    <x v="19"/>
    <x v="3"/>
    <x v="47"/>
    <n v="1587000"/>
    <x v="2"/>
    <n v="12.1"/>
    <n v="52787"/>
    <n v="5"/>
    <n v="4"/>
    <n v="211148"/>
    <n v="1437621"/>
    <x v="14"/>
    <x v="1"/>
    <x v="58"/>
  </r>
  <r>
    <s v="SFL-10064"/>
    <x v="1"/>
    <x v="1"/>
    <x v="0"/>
    <s v="CUS-4064"/>
    <x v="1"/>
    <x v="9"/>
    <x v="2"/>
    <x v="48"/>
    <n v="448000"/>
    <x v="2"/>
    <n v="11.4"/>
    <n v="14752"/>
    <n v="1"/>
    <n v="1"/>
    <n v="14752"/>
    <n v="437504"/>
    <x v="0"/>
    <x v="0"/>
    <x v="59"/>
  </r>
  <r>
    <s v="SFL-10065"/>
    <x v="0"/>
    <x v="0"/>
    <x v="0"/>
    <s v="CUS-4065"/>
    <x v="1"/>
    <x v="6"/>
    <x v="2"/>
    <x v="49"/>
    <n v="301000"/>
    <x v="4"/>
    <n v="11.5"/>
    <n v="7853"/>
    <n v="1"/>
    <n v="1"/>
    <n v="7853"/>
    <n v="296032"/>
    <x v="0"/>
    <x v="0"/>
    <x v="60"/>
  </r>
  <r>
    <s v="SFL-10066"/>
    <x v="1"/>
    <x v="1"/>
    <x v="4"/>
    <s v="CUS-4066"/>
    <x v="1"/>
    <x v="18"/>
    <x v="2"/>
    <x v="50"/>
    <n v="1494000"/>
    <x v="5"/>
    <n v="13.2"/>
    <n v="34146"/>
    <n v="6"/>
    <n v="6"/>
    <n v="204876"/>
    <n v="1384761"/>
    <x v="0"/>
    <x v="0"/>
    <x v="61"/>
  </r>
  <r>
    <s v="SFL-10067"/>
    <x v="4"/>
    <x v="3"/>
    <x v="3"/>
    <s v="CUS-4067"/>
    <x v="1"/>
    <x v="8"/>
    <x v="1"/>
    <x v="51"/>
    <n v="625000"/>
    <x v="0"/>
    <n v="11.9"/>
    <n v="29392"/>
    <n v="3"/>
    <n v="3"/>
    <n v="88176"/>
    <n v="554726"/>
    <x v="0"/>
    <x v="0"/>
    <x v="62"/>
  </r>
  <r>
    <s v="SFL-10068"/>
    <x v="5"/>
    <x v="0"/>
    <x v="0"/>
    <s v="CUS-4068"/>
    <x v="2"/>
    <x v="13"/>
    <x v="2"/>
    <x v="2"/>
    <n v="633000"/>
    <x v="0"/>
    <n v="13.7"/>
    <n v="30303"/>
    <n v="6"/>
    <n v="6"/>
    <n v="181818"/>
    <n v="490533"/>
    <x v="0"/>
    <x v="0"/>
    <x v="63"/>
  </r>
  <r>
    <s v="SFL-10069"/>
    <x v="1"/>
    <x v="1"/>
    <x v="0"/>
    <s v="CUS-4069"/>
    <x v="2"/>
    <x v="16"/>
    <x v="2"/>
    <x v="34"/>
    <n v="255000"/>
    <x v="0"/>
    <n v="11.9"/>
    <n v="11992"/>
    <n v="6"/>
    <n v="6"/>
    <n v="71952"/>
    <n v="196795"/>
    <x v="0"/>
    <x v="0"/>
    <x v="64"/>
  </r>
  <r>
    <s v="SFL-10070"/>
    <x v="7"/>
    <x v="3"/>
    <x v="1"/>
    <s v="CUS-4070"/>
    <x v="2"/>
    <x v="30"/>
    <x v="1"/>
    <x v="7"/>
    <n v="136000"/>
    <x v="0"/>
    <n v="10.199999999999999"/>
    <n v="6288"/>
    <n v="4"/>
    <n v="0"/>
    <n v="0"/>
    <n v="136000"/>
    <x v="15"/>
    <x v="2"/>
    <x v="8"/>
  </r>
  <r>
    <s v="SFL-10071"/>
    <x v="7"/>
    <x v="3"/>
    <x v="1"/>
    <s v="CUS-4071"/>
    <x v="1"/>
    <x v="17"/>
    <x v="0"/>
    <x v="52"/>
    <n v="267000"/>
    <x v="3"/>
    <n v="9.8000000000000007"/>
    <n v="23449"/>
    <n v="4"/>
    <n v="4"/>
    <n v="93796"/>
    <n v="180879"/>
    <x v="0"/>
    <x v="0"/>
    <x v="65"/>
  </r>
  <r>
    <s v="SFL-10072"/>
    <x v="4"/>
    <x v="3"/>
    <x v="4"/>
    <s v="CUS-4072"/>
    <x v="1"/>
    <x v="27"/>
    <x v="2"/>
    <x v="34"/>
    <n v="1673000"/>
    <x v="2"/>
    <n v="13.1"/>
    <n v="56451"/>
    <n v="6"/>
    <n v="6"/>
    <n v="338706"/>
    <n v="1437533"/>
    <x v="0"/>
    <x v="0"/>
    <x v="66"/>
  </r>
  <r>
    <s v="SFL-10073"/>
    <x v="5"/>
    <x v="0"/>
    <x v="2"/>
    <s v="CUS-4073"/>
    <x v="2"/>
    <x v="28"/>
    <x v="0"/>
    <x v="53"/>
    <n v="411000"/>
    <x v="2"/>
    <n v="14.7"/>
    <n v="14187"/>
    <n v="5"/>
    <n v="0"/>
    <n v="0"/>
    <n v="411000"/>
    <x v="16"/>
    <x v="2"/>
    <x v="8"/>
  </r>
  <r>
    <s v="SFL-10074"/>
    <x v="5"/>
    <x v="0"/>
    <x v="2"/>
    <s v="CUS-4074"/>
    <x v="0"/>
    <x v="16"/>
    <x v="2"/>
    <x v="11"/>
    <n v="128000"/>
    <x v="0"/>
    <n v="16.899999999999999"/>
    <n v="6322"/>
    <n v="5"/>
    <n v="4"/>
    <n v="25288"/>
    <n v="109535"/>
    <x v="17"/>
    <x v="1"/>
    <x v="67"/>
  </r>
  <r>
    <s v="SFL-10075"/>
    <x v="1"/>
    <x v="1"/>
    <x v="1"/>
    <s v="CUS-4075"/>
    <x v="1"/>
    <x v="31"/>
    <x v="3"/>
    <x v="54"/>
    <n v="110000"/>
    <x v="3"/>
    <n v="9.9"/>
    <n v="9666"/>
    <n v="2"/>
    <n v="2"/>
    <n v="19332"/>
    <n v="92411"/>
    <x v="0"/>
    <x v="0"/>
    <x v="68"/>
  </r>
  <r>
    <s v="SFL-10076"/>
    <x v="5"/>
    <x v="0"/>
    <x v="3"/>
    <s v="CUS-4076"/>
    <x v="0"/>
    <x v="31"/>
    <x v="3"/>
    <x v="55"/>
    <n v="379000"/>
    <x v="5"/>
    <n v="11.2"/>
    <n v="8278"/>
    <n v="1"/>
    <n v="1"/>
    <n v="8278"/>
    <n v="374259"/>
    <x v="0"/>
    <x v="0"/>
    <x v="69"/>
  </r>
  <r>
    <s v="SFL-10077"/>
    <x v="5"/>
    <x v="0"/>
    <x v="3"/>
    <s v="CUS-4077"/>
    <x v="0"/>
    <x v="17"/>
    <x v="0"/>
    <x v="11"/>
    <n v="653000"/>
    <x v="0"/>
    <n v="13.9"/>
    <n v="31322"/>
    <n v="5"/>
    <n v="5"/>
    <n v="156610"/>
    <n v="531428"/>
    <x v="0"/>
    <x v="0"/>
    <x v="70"/>
  </r>
  <r>
    <s v="SFL-10078"/>
    <x v="6"/>
    <x v="1"/>
    <x v="2"/>
    <s v="CUS-4078"/>
    <x v="0"/>
    <x v="11"/>
    <x v="0"/>
    <x v="56"/>
    <n v="308000"/>
    <x v="2"/>
    <n v="15.5"/>
    <n v="10752"/>
    <n v="3"/>
    <n v="1"/>
    <n v="10752"/>
    <n v="301226"/>
    <x v="18"/>
    <x v="1"/>
    <x v="71"/>
  </r>
  <r>
    <s v="SFL-10079"/>
    <x v="4"/>
    <x v="3"/>
    <x v="1"/>
    <s v="CUS-4079"/>
    <x v="0"/>
    <x v="16"/>
    <x v="2"/>
    <x v="57"/>
    <n v="39000"/>
    <x v="1"/>
    <n v="11.7"/>
    <n v="6724"/>
    <n v="2"/>
    <n v="2"/>
    <n v="13448"/>
    <n v="26251"/>
    <x v="0"/>
    <x v="0"/>
    <x v="72"/>
  </r>
  <r>
    <s v="SFL-10080"/>
    <x v="3"/>
    <x v="2"/>
    <x v="1"/>
    <s v="CUS-4080"/>
    <x v="2"/>
    <x v="32"/>
    <x v="1"/>
    <x v="58"/>
    <n v="169000"/>
    <x v="1"/>
    <n v="9.1999999999999993"/>
    <n v="28927"/>
    <n v="5"/>
    <n v="5"/>
    <n v="144635"/>
    <n v="28707"/>
    <x v="0"/>
    <x v="0"/>
    <x v="73"/>
  </r>
  <r>
    <s v="SFL-10081"/>
    <x v="4"/>
    <x v="3"/>
    <x v="3"/>
    <s v="CUS-4081"/>
    <x v="0"/>
    <x v="20"/>
    <x v="0"/>
    <x v="59"/>
    <n v="405000"/>
    <x v="4"/>
    <n v="14.1"/>
    <n v="11088"/>
    <n v="2"/>
    <n v="2"/>
    <n v="22176"/>
    <n v="392268"/>
    <x v="0"/>
    <x v="0"/>
    <x v="74"/>
  </r>
  <r>
    <s v="SFL-10082"/>
    <x v="4"/>
    <x v="3"/>
    <x v="4"/>
    <s v="CUS-4082"/>
    <x v="1"/>
    <x v="33"/>
    <x v="1"/>
    <x v="60"/>
    <n v="1958000"/>
    <x v="2"/>
    <n v="14.1"/>
    <n v="67015"/>
    <n v="4"/>
    <n v="4"/>
    <n v="268060"/>
    <n v="1778839"/>
    <x v="0"/>
    <x v="0"/>
    <x v="75"/>
  </r>
  <r>
    <s v="SFL-10083"/>
    <x v="2"/>
    <x v="2"/>
    <x v="4"/>
    <s v="CUS-4083"/>
    <x v="0"/>
    <x v="4"/>
    <x v="3"/>
    <x v="61"/>
    <n v="1104000"/>
    <x v="0"/>
    <n v="12.3"/>
    <n v="52124"/>
    <n v="5"/>
    <n v="2"/>
    <n v="104248"/>
    <n v="1021966"/>
    <x v="19"/>
    <x v="2"/>
    <x v="76"/>
  </r>
  <r>
    <s v="SFL-10084"/>
    <x v="0"/>
    <x v="0"/>
    <x v="0"/>
    <s v="CUS-4084"/>
    <x v="0"/>
    <x v="33"/>
    <x v="1"/>
    <x v="51"/>
    <n v="1495000"/>
    <x v="2"/>
    <n v="13.4"/>
    <n v="50661"/>
    <n v="3"/>
    <n v="0"/>
    <n v="0"/>
    <n v="1495000"/>
    <x v="20"/>
    <x v="2"/>
    <x v="8"/>
  </r>
  <r>
    <s v="SFL-10085"/>
    <x v="2"/>
    <x v="2"/>
    <x v="4"/>
    <s v="CUS-4085"/>
    <x v="2"/>
    <x v="18"/>
    <x v="2"/>
    <x v="62"/>
    <n v="1805000"/>
    <x v="4"/>
    <n v="14.6"/>
    <n v="49869"/>
    <n v="3"/>
    <n v="3"/>
    <n v="149607"/>
    <n v="1720252"/>
    <x v="0"/>
    <x v="0"/>
    <x v="77"/>
  </r>
  <r>
    <s v="SFL-10086"/>
    <x v="5"/>
    <x v="0"/>
    <x v="1"/>
    <s v="CUS-4086"/>
    <x v="0"/>
    <x v="0"/>
    <x v="0"/>
    <x v="63"/>
    <n v="91000"/>
    <x v="0"/>
    <n v="11.9"/>
    <n v="4279"/>
    <n v="6"/>
    <n v="6"/>
    <n v="25674"/>
    <n v="70229"/>
    <x v="0"/>
    <x v="0"/>
    <x v="78"/>
  </r>
  <r>
    <s v="SFL-10087"/>
    <x v="5"/>
    <x v="0"/>
    <x v="2"/>
    <s v="CUS-4087"/>
    <x v="1"/>
    <x v="33"/>
    <x v="1"/>
    <x v="64"/>
    <n v="201000"/>
    <x v="3"/>
    <n v="17.2"/>
    <n v="18351"/>
    <n v="4"/>
    <n v="4"/>
    <n v="73404"/>
    <n v="137776"/>
    <x v="0"/>
    <x v="0"/>
    <x v="79"/>
  </r>
  <r>
    <s v="SFL-10088"/>
    <x v="1"/>
    <x v="1"/>
    <x v="2"/>
    <s v="CUS-4088"/>
    <x v="2"/>
    <x v="33"/>
    <x v="1"/>
    <x v="65"/>
    <n v="432000"/>
    <x v="2"/>
    <n v="15.9"/>
    <n v="15167"/>
    <n v="5"/>
    <n v="5"/>
    <n v="75835"/>
    <n v="383520"/>
    <x v="0"/>
    <x v="0"/>
    <x v="80"/>
  </r>
  <r>
    <s v="SFL-10089"/>
    <x v="7"/>
    <x v="3"/>
    <x v="2"/>
    <s v="CUS-4089"/>
    <x v="0"/>
    <x v="11"/>
    <x v="0"/>
    <x v="65"/>
    <n v="492000"/>
    <x v="2"/>
    <n v="14.6"/>
    <n v="16959"/>
    <n v="5"/>
    <n v="5"/>
    <n v="84795"/>
    <n v="435783"/>
    <x v="0"/>
    <x v="0"/>
    <x v="81"/>
  </r>
  <r>
    <s v="SFL-10090"/>
    <x v="2"/>
    <x v="2"/>
    <x v="2"/>
    <s v="CUS-4090"/>
    <x v="1"/>
    <x v="34"/>
    <x v="3"/>
    <x v="66"/>
    <n v="352000"/>
    <x v="2"/>
    <n v="14.8"/>
    <n v="12168"/>
    <n v="6"/>
    <n v="0"/>
    <n v="0"/>
    <n v="352000"/>
    <x v="21"/>
    <x v="2"/>
    <x v="8"/>
  </r>
  <r>
    <s v="SFL-10091"/>
    <x v="7"/>
    <x v="3"/>
    <x v="0"/>
    <s v="CUS-4091"/>
    <x v="1"/>
    <x v="17"/>
    <x v="0"/>
    <x v="57"/>
    <n v="482000"/>
    <x v="2"/>
    <n v="13.2"/>
    <n v="16287"/>
    <n v="2"/>
    <n v="0"/>
    <n v="0"/>
    <n v="482000"/>
    <x v="22"/>
    <x v="1"/>
    <x v="8"/>
  </r>
  <r>
    <s v="SFL-10092"/>
    <x v="3"/>
    <x v="2"/>
    <x v="1"/>
    <s v="CUS-4092"/>
    <x v="2"/>
    <x v="11"/>
    <x v="0"/>
    <x v="67"/>
    <n v="256000"/>
    <x v="3"/>
    <n v="10.4"/>
    <n v="22554"/>
    <n v="3"/>
    <n v="3"/>
    <n v="67662"/>
    <n v="194463"/>
    <x v="0"/>
    <x v="0"/>
    <x v="82"/>
  </r>
  <r>
    <s v="SFL-10093"/>
    <x v="6"/>
    <x v="1"/>
    <x v="4"/>
    <s v="CUS-4093"/>
    <x v="1"/>
    <x v="20"/>
    <x v="0"/>
    <x v="68"/>
    <n v="1360000"/>
    <x v="4"/>
    <n v="12.2"/>
    <n v="35948"/>
    <n v="4"/>
    <n v="4"/>
    <n v="143792"/>
    <n v="1270157"/>
    <x v="0"/>
    <x v="0"/>
    <x v="83"/>
  </r>
  <r>
    <s v="SFL-10094"/>
    <x v="3"/>
    <x v="2"/>
    <x v="0"/>
    <s v="CUS-4094"/>
    <x v="0"/>
    <x v="2"/>
    <x v="2"/>
    <x v="69"/>
    <n v="632000"/>
    <x v="0"/>
    <n v="11.4"/>
    <n v="29574"/>
    <n v="4"/>
    <n v="4"/>
    <n v="118296"/>
    <n v="536369"/>
    <x v="0"/>
    <x v="0"/>
    <x v="84"/>
  </r>
  <r>
    <s v="SFL-10095"/>
    <x v="3"/>
    <x v="2"/>
    <x v="2"/>
    <s v="CUS-4095"/>
    <x v="0"/>
    <x v="20"/>
    <x v="0"/>
    <x v="12"/>
    <n v="492000"/>
    <x v="3"/>
    <n v="14.3"/>
    <n v="44245"/>
    <n v="4"/>
    <n v="4"/>
    <n v="176980"/>
    <n v="335707"/>
    <x v="0"/>
    <x v="0"/>
    <x v="85"/>
  </r>
  <r>
    <s v="SFL-10096"/>
    <x v="2"/>
    <x v="2"/>
    <x v="0"/>
    <s v="CUS-4096"/>
    <x v="1"/>
    <x v="29"/>
    <x v="0"/>
    <x v="70"/>
    <n v="418000"/>
    <x v="0"/>
    <n v="11"/>
    <n v="19482"/>
    <n v="1"/>
    <n v="1"/>
    <n v="19482"/>
    <n v="402350"/>
    <x v="0"/>
    <x v="0"/>
    <x v="86"/>
  </r>
  <r>
    <s v="SFL-10097"/>
    <x v="2"/>
    <x v="2"/>
    <x v="0"/>
    <s v="CUS-4097"/>
    <x v="1"/>
    <x v="18"/>
    <x v="2"/>
    <x v="71"/>
    <n v="249000"/>
    <x v="0"/>
    <n v="12.1"/>
    <n v="11733"/>
    <n v="1"/>
    <n v="1"/>
    <n v="11733"/>
    <n v="239778"/>
    <x v="0"/>
    <x v="0"/>
    <x v="87"/>
  </r>
  <r>
    <s v="SFL-10098"/>
    <x v="5"/>
    <x v="0"/>
    <x v="1"/>
    <s v="CUS-4098"/>
    <x v="2"/>
    <x v="32"/>
    <x v="1"/>
    <x v="66"/>
    <n v="249000"/>
    <x v="0"/>
    <n v="9.1"/>
    <n v="11387"/>
    <n v="6"/>
    <n v="6"/>
    <n v="68322"/>
    <n v="190916"/>
    <x v="0"/>
    <x v="0"/>
    <x v="88"/>
  </r>
  <r>
    <s v="SFL-10099"/>
    <x v="5"/>
    <x v="0"/>
    <x v="0"/>
    <s v="CUS-4099"/>
    <x v="0"/>
    <x v="19"/>
    <x v="3"/>
    <x v="49"/>
    <n v="494000"/>
    <x v="4"/>
    <n v="10.4"/>
    <n v="12624"/>
    <n v="1"/>
    <n v="1"/>
    <n v="12624"/>
    <n v="485657"/>
    <x v="0"/>
    <x v="0"/>
    <x v="89"/>
  </r>
  <r>
    <s v="SFL-10100"/>
    <x v="0"/>
    <x v="0"/>
    <x v="0"/>
    <s v="CUS-4100"/>
    <x v="2"/>
    <x v="9"/>
    <x v="2"/>
    <x v="72"/>
    <n v="692000"/>
    <x v="2"/>
    <n v="10.199999999999999"/>
    <n v="22394"/>
    <n v="6"/>
    <n v="6"/>
    <n v="134364"/>
    <n v="590799"/>
    <x v="0"/>
    <x v="0"/>
    <x v="90"/>
  </r>
  <r>
    <s v="SFL-10101"/>
    <x v="5"/>
    <x v="0"/>
    <x v="0"/>
    <s v="CUS-4101"/>
    <x v="2"/>
    <x v="25"/>
    <x v="0"/>
    <x v="49"/>
    <n v="872000"/>
    <x v="2"/>
    <n v="12.4"/>
    <n v="29130"/>
    <n v="1"/>
    <n v="1"/>
    <n v="29130"/>
    <n v="851881"/>
    <x v="0"/>
    <x v="0"/>
    <x v="91"/>
  </r>
  <r>
    <s v="SFL-10102"/>
    <x v="4"/>
    <x v="3"/>
    <x v="1"/>
    <s v="CUS-4102"/>
    <x v="1"/>
    <x v="24"/>
    <x v="1"/>
    <x v="73"/>
    <n v="228000"/>
    <x v="0"/>
    <n v="9.9"/>
    <n v="10511"/>
    <n v="2"/>
    <n v="2"/>
    <n v="21022"/>
    <n v="210670"/>
    <x v="0"/>
    <x v="0"/>
    <x v="92"/>
  </r>
  <r>
    <s v="SFL-10103"/>
    <x v="4"/>
    <x v="3"/>
    <x v="0"/>
    <s v="CUS-4103"/>
    <x v="1"/>
    <x v="35"/>
    <x v="1"/>
    <x v="74"/>
    <n v="963000"/>
    <x v="0"/>
    <n v="10.9"/>
    <n v="44839"/>
    <n v="3"/>
    <n v="3"/>
    <n v="134517"/>
    <n v="853739"/>
    <x v="0"/>
    <x v="0"/>
    <x v="93"/>
  </r>
  <r>
    <s v="SFL-10104"/>
    <x v="6"/>
    <x v="1"/>
    <x v="0"/>
    <s v="CUS-4104"/>
    <x v="1"/>
    <x v="3"/>
    <x v="0"/>
    <x v="75"/>
    <n v="764000"/>
    <x v="2"/>
    <n v="13.1"/>
    <n v="25779"/>
    <n v="1"/>
    <n v="1"/>
    <n v="25779"/>
    <n v="746561"/>
    <x v="0"/>
    <x v="0"/>
    <x v="94"/>
  </r>
  <r>
    <s v="SFL-10105"/>
    <x v="0"/>
    <x v="0"/>
    <x v="4"/>
    <s v="CUS-4105"/>
    <x v="2"/>
    <x v="12"/>
    <x v="1"/>
    <x v="76"/>
    <n v="201000"/>
    <x v="5"/>
    <n v="15.2"/>
    <n v="4803"/>
    <n v="6"/>
    <n v="1"/>
    <n v="4803"/>
    <n v="198743"/>
    <x v="23"/>
    <x v="2"/>
    <x v="95"/>
  </r>
  <r>
    <s v="SFL-10106"/>
    <x v="1"/>
    <x v="1"/>
    <x v="4"/>
    <s v="CUS-4106"/>
    <x v="0"/>
    <x v="32"/>
    <x v="1"/>
    <x v="77"/>
    <n v="669000"/>
    <x v="2"/>
    <n v="12.2"/>
    <n v="22284"/>
    <n v="5"/>
    <n v="5"/>
    <n v="111420"/>
    <n v="589996"/>
    <x v="0"/>
    <x v="0"/>
    <x v="96"/>
  </r>
  <r>
    <s v="SFL-10107"/>
    <x v="4"/>
    <x v="3"/>
    <x v="4"/>
    <s v="CUS-4107"/>
    <x v="2"/>
    <x v="9"/>
    <x v="2"/>
    <x v="7"/>
    <n v="435000"/>
    <x v="5"/>
    <n v="13.4"/>
    <n v="9987"/>
    <n v="4"/>
    <n v="3"/>
    <n v="29961"/>
    <n v="419439"/>
    <x v="24"/>
    <x v="1"/>
    <x v="97"/>
  </r>
  <r>
    <s v="SFL-10108"/>
    <x v="0"/>
    <x v="0"/>
    <x v="3"/>
    <s v="CUS-4108"/>
    <x v="2"/>
    <x v="35"/>
    <x v="1"/>
    <x v="55"/>
    <n v="75000"/>
    <x v="2"/>
    <n v="14.1"/>
    <n v="2567"/>
    <n v="1"/>
    <n v="1"/>
    <n v="2567"/>
    <n v="73314"/>
    <x v="0"/>
    <x v="0"/>
    <x v="98"/>
  </r>
  <r>
    <s v="SFL-10109"/>
    <x v="3"/>
    <x v="2"/>
    <x v="3"/>
    <s v="CUS-4109"/>
    <x v="2"/>
    <x v="22"/>
    <x v="3"/>
    <x v="78"/>
    <n v="286000"/>
    <x v="0"/>
    <n v="11.6"/>
    <n v="13410"/>
    <n v="2"/>
    <n v="2"/>
    <n v="26820"/>
    <n v="264607"/>
    <x v="0"/>
    <x v="0"/>
    <x v="99"/>
  </r>
  <r>
    <s v="SFL-10110"/>
    <x v="0"/>
    <x v="0"/>
    <x v="0"/>
    <s v="CUS-4110"/>
    <x v="0"/>
    <x v="21"/>
    <x v="0"/>
    <x v="79"/>
    <n v="735000"/>
    <x v="4"/>
    <n v="12.1"/>
    <n v="19391"/>
    <n v="1"/>
    <n v="0"/>
    <n v="0"/>
    <n v="735000"/>
    <x v="9"/>
    <x v="1"/>
    <x v="8"/>
  </r>
  <r>
    <s v="SFL-10111"/>
    <x v="6"/>
    <x v="1"/>
    <x v="0"/>
    <s v="CUS-4111"/>
    <x v="0"/>
    <x v="16"/>
    <x v="2"/>
    <x v="80"/>
    <n v="267000"/>
    <x v="4"/>
    <n v="12.2"/>
    <n v="7057"/>
    <n v="4"/>
    <n v="4"/>
    <n v="28228"/>
    <n v="249362"/>
    <x v="0"/>
    <x v="0"/>
    <x v="100"/>
  </r>
  <r>
    <s v="SFL-10112"/>
    <x v="4"/>
    <x v="3"/>
    <x v="1"/>
    <s v="CUS-4112"/>
    <x v="1"/>
    <x v="4"/>
    <x v="3"/>
    <x v="81"/>
    <n v="89000"/>
    <x v="0"/>
    <n v="10.4"/>
    <n v="4123"/>
    <n v="4"/>
    <n v="4"/>
    <n v="16492"/>
    <n v="75417"/>
    <x v="0"/>
    <x v="0"/>
    <x v="101"/>
  </r>
  <r>
    <s v="SFL-10113"/>
    <x v="7"/>
    <x v="3"/>
    <x v="4"/>
    <s v="CUS-4113"/>
    <x v="2"/>
    <x v="20"/>
    <x v="0"/>
    <x v="82"/>
    <n v="1969000"/>
    <x v="4"/>
    <n v="15.4"/>
    <n v="55199"/>
    <n v="5"/>
    <n v="5"/>
    <n v="275995"/>
    <n v="1815459"/>
    <x v="0"/>
    <x v="0"/>
    <x v="102"/>
  </r>
  <r>
    <s v="SFL-10114"/>
    <x v="5"/>
    <x v="0"/>
    <x v="3"/>
    <s v="CUS-4114"/>
    <x v="1"/>
    <x v="4"/>
    <x v="3"/>
    <x v="83"/>
    <n v="418000"/>
    <x v="5"/>
    <n v="13.4"/>
    <n v="9597"/>
    <n v="4"/>
    <n v="4"/>
    <n v="38388"/>
    <n v="397952"/>
    <x v="0"/>
    <x v="0"/>
    <x v="103"/>
  </r>
  <r>
    <s v="SFL-10115"/>
    <x v="7"/>
    <x v="3"/>
    <x v="0"/>
    <s v="CUS-4115"/>
    <x v="0"/>
    <x v="1"/>
    <x v="1"/>
    <x v="78"/>
    <n v="1473000"/>
    <x v="2"/>
    <n v="10.3"/>
    <n v="47737"/>
    <n v="2"/>
    <n v="2"/>
    <n v="95474"/>
    <n v="1402511"/>
    <x v="0"/>
    <x v="0"/>
    <x v="104"/>
  </r>
  <r>
    <s v="SFL-10116"/>
    <x v="7"/>
    <x v="3"/>
    <x v="3"/>
    <s v="CUS-4116"/>
    <x v="1"/>
    <x v="23"/>
    <x v="3"/>
    <x v="62"/>
    <n v="647000"/>
    <x v="0"/>
    <n v="13.4"/>
    <n v="30881"/>
    <n v="3"/>
    <n v="3"/>
    <n v="92643"/>
    <n v="575235"/>
    <x v="0"/>
    <x v="0"/>
    <x v="105"/>
  </r>
  <r>
    <s v="SFL-10117"/>
    <x v="5"/>
    <x v="0"/>
    <x v="2"/>
    <s v="CUS-4117"/>
    <x v="1"/>
    <x v="18"/>
    <x v="2"/>
    <x v="84"/>
    <n v="143000"/>
    <x v="0"/>
    <n v="16.8"/>
    <n v="7057"/>
    <n v="5"/>
    <n v="3"/>
    <n v="21171"/>
    <n v="127623"/>
    <x v="25"/>
    <x v="1"/>
    <x v="106"/>
  </r>
  <r>
    <s v="SFL-10118"/>
    <x v="1"/>
    <x v="1"/>
    <x v="0"/>
    <s v="CUS-4118"/>
    <x v="2"/>
    <x v="21"/>
    <x v="0"/>
    <x v="85"/>
    <n v="669000"/>
    <x v="2"/>
    <n v="10.1"/>
    <n v="21618"/>
    <n v="2"/>
    <n v="0"/>
    <n v="0"/>
    <n v="669000"/>
    <x v="26"/>
    <x v="1"/>
    <x v="8"/>
  </r>
  <r>
    <s v="SFL-10119"/>
    <x v="1"/>
    <x v="1"/>
    <x v="3"/>
    <s v="CUS-4119"/>
    <x v="1"/>
    <x v="15"/>
    <x v="2"/>
    <x v="86"/>
    <n v="601000"/>
    <x v="2"/>
    <n v="13.9"/>
    <n v="20512"/>
    <n v="2"/>
    <n v="2"/>
    <n v="41024"/>
    <n v="573743"/>
    <x v="0"/>
    <x v="0"/>
    <x v="107"/>
  </r>
  <r>
    <s v="SFL-10120"/>
    <x v="6"/>
    <x v="1"/>
    <x v="4"/>
    <s v="CUS-4120"/>
    <x v="2"/>
    <x v="35"/>
    <x v="1"/>
    <x v="31"/>
    <n v="940000"/>
    <x v="0"/>
    <n v="14.9"/>
    <n v="45533"/>
    <n v="2"/>
    <n v="2"/>
    <n v="91066"/>
    <n v="871857"/>
    <x v="0"/>
    <x v="0"/>
    <x v="108"/>
  </r>
  <r>
    <s v="SFL-10121"/>
    <x v="4"/>
    <x v="3"/>
    <x v="0"/>
    <s v="CUS-4121"/>
    <x v="0"/>
    <x v="25"/>
    <x v="0"/>
    <x v="26"/>
    <n v="411000"/>
    <x v="2"/>
    <n v="10.199999999999999"/>
    <n v="13300"/>
    <n v="6"/>
    <n v="6"/>
    <n v="79800"/>
    <n v="350894"/>
    <x v="0"/>
    <x v="0"/>
    <x v="109"/>
  </r>
  <r>
    <s v="SFL-10122"/>
    <x v="7"/>
    <x v="3"/>
    <x v="3"/>
    <s v="CUS-4122"/>
    <x v="0"/>
    <x v="1"/>
    <x v="1"/>
    <x v="87"/>
    <n v="732000"/>
    <x v="0"/>
    <n v="13.4"/>
    <n v="34938"/>
    <n v="3"/>
    <n v="3"/>
    <n v="104814"/>
    <n v="650807"/>
    <x v="0"/>
    <x v="0"/>
    <x v="110"/>
  </r>
  <r>
    <s v="SFL-10123"/>
    <x v="6"/>
    <x v="1"/>
    <x v="2"/>
    <s v="CUS-4123"/>
    <x v="0"/>
    <x v="26"/>
    <x v="3"/>
    <x v="88"/>
    <n v="431000"/>
    <x v="2"/>
    <n v="14.6"/>
    <n v="14856"/>
    <n v="1"/>
    <n v="1"/>
    <n v="14856"/>
    <n v="421387"/>
    <x v="0"/>
    <x v="0"/>
    <x v="111"/>
  </r>
  <r>
    <s v="SFL-10124"/>
    <x v="7"/>
    <x v="3"/>
    <x v="2"/>
    <s v="CUS-4124"/>
    <x v="1"/>
    <x v="32"/>
    <x v="1"/>
    <x v="11"/>
    <n v="250000"/>
    <x v="0"/>
    <n v="14.4"/>
    <n v="12051"/>
    <n v="5"/>
    <n v="3"/>
    <n v="36153"/>
    <n v="222521"/>
    <x v="27"/>
    <x v="1"/>
    <x v="112"/>
  </r>
  <r>
    <s v="SFL-10125"/>
    <x v="3"/>
    <x v="2"/>
    <x v="1"/>
    <s v="CUS-4125"/>
    <x v="1"/>
    <x v="2"/>
    <x v="2"/>
    <x v="28"/>
    <n v="145000"/>
    <x v="1"/>
    <n v="10.7"/>
    <n v="24926"/>
    <n v="6"/>
    <n v="6"/>
    <n v="149556"/>
    <n v="0"/>
    <x v="0"/>
    <x v="0"/>
    <x v="113"/>
  </r>
  <r>
    <s v="SFL-10126"/>
    <x v="7"/>
    <x v="3"/>
    <x v="2"/>
    <s v="CUS-4126"/>
    <x v="0"/>
    <x v="16"/>
    <x v="2"/>
    <x v="37"/>
    <n v="147000"/>
    <x v="2"/>
    <n v="14.9"/>
    <n v="5089"/>
    <n v="5"/>
    <n v="4"/>
    <n v="20356"/>
    <n v="133701"/>
    <x v="28"/>
    <x v="1"/>
    <x v="114"/>
  </r>
  <r>
    <s v="SFL-10127"/>
    <x v="0"/>
    <x v="0"/>
    <x v="4"/>
    <s v="CUS-4127"/>
    <x v="2"/>
    <x v="9"/>
    <x v="2"/>
    <x v="65"/>
    <n v="974000"/>
    <x v="4"/>
    <n v="13.7"/>
    <n v="26470"/>
    <n v="5"/>
    <n v="5"/>
    <n v="132350"/>
    <n v="895478"/>
    <x v="0"/>
    <x v="0"/>
    <x v="115"/>
  </r>
  <r>
    <s v="SFL-10128"/>
    <x v="3"/>
    <x v="2"/>
    <x v="4"/>
    <s v="CUS-4128"/>
    <x v="0"/>
    <x v="25"/>
    <x v="0"/>
    <x v="89"/>
    <n v="355000"/>
    <x v="5"/>
    <n v="15.2"/>
    <n v="8483"/>
    <n v="6"/>
    <n v="6"/>
    <n v="50898"/>
    <n v="330313"/>
    <x v="0"/>
    <x v="0"/>
    <x v="116"/>
  </r>
  <r>
    <s v="SFL-10129"/>
    <x v="4"/>
    <x v="3"/>
    <x v="1"/>
    <s v="CUS-4129"/>
    <x v="1"/>
    <x v="4"/>
    <x v="3"/>
    <x v="90"/>
    <n v="77000"/>
    <x v="0"/>
    <n v="11"/>
    <n v="3589"/>
    <n v="5"/>
    <n v="5"/>
    <n v="17945"/>
    <n v="62318"/>
    <x v="0"/>
    <x v="0"/>
    <x v="117"/>
  </r>
  <r>
    <s v="SFL-10130"/>
    <x v="4"/>
    <x v="3"/>
    <x v="0"/>
    <s v="CUS-4130"/>
    <x v="2"/>
    <x v="0"/>
    <x v="0"/>
    <x v="91"/>
    <n v="1161000"/>
    <x v="2"/>
    <n v="12.2"/>
    <n v="38673"/>
    <n v="2"/>
    <n v="2"/>
    <n v="77346"/>
    <n v="1106988"/>
    <x v="0"/>
    <x v="0"/>
    <x v="118"/>
  </r>
  <r>
    <s v="SFL-10131"/>
    <x v="1"/>
    <x v="1"/>
    <x v="1"/>
    <s v="CUS-4131"/>
    <x v="1"/>
    <x v="5"/>
    <x v="2"/>
    <x v="48"/>
    <n v="240000"/>
    <x v="3"/>
    <n v="10.8"/>
    <n v="21189"/>
    <n v="1"/>
    <n v="1"/>
    <n v="21189"/>
    <n v="220971"/>
    <x v="0"/>
    <x v="0"/>
    <x v="119"/>
  </r>
  <r>
    <s v="SFL-10132"/>
    <x v="3"/>
    <x v="2"/>
    <x v="0"/>
    <s v="CUS-4132"/>
    <x v="2"/>
    <x v="17"/>
    <x v="0"/>
    <x v="92"/>
    <n v="139000"/>
    <x v="0"/>
    <n v="13.3"/>
    <n v="6628"/>
    <n v="3"/>
    <n v="3"/>
    <n v="19884"/>
    <n v="123568"/>
    <x v="0"/>
    <x v="0"/>
    <x v="120"/>
  </r>
  <r>
    <s v="SFL-10133"/>
    <x v="3"/>
    <x v="2"/>
    <x v="1"/>
    <s v="CUS-4133"/>
    <x v="1"/>
    <x v="7"/>
    <x v="1"/>
    <x v="7"/>
    <n v="77000"/>
    <x v="1"/>
    <n v="11.7"/>
    <n v="13275"/>
    <n v="4"/>
    <n v="4"/>
    <n v="53100"/>
    <n v="26166"/>
    <x v="0"/>
    <x v="0"/>
    <x v="121"/>
  </r>
  <r>
    <s v="SFL-10134"/>
    <x v="0"/>
    <x v="0"/>
    <x v="3"/>
    <s v="CUS-4134"/>
    <x v="1"/>
    <x v="10"/>
    <x v="2"/>
    <x v="93"/>
    <n v="417000"/>
    <x v="0"/>
    <n v="11.1"/>
    <n v="19455"/>
    <n v="2"/>
    <n v="1"/>
    <n v="19455"/>
    <n v="401402"/>
    <x v="29"/>
    <x v="1"/>
    <x v="122"/>
  </r>
  <r>
    <s v="SFL-10135"/>
    <x v="4"/>
    <x v="3"/>
    <x v="1"/>
    <s v="CUS-4135"/>
    <x v="2"/>
    <x v="3"/>
    <x v="0"/>
    <x v="94"/>
    <n v="148000"/>
    <x v="0"/>
    <n v="11.8"/>
    <n v="6953"/>
    <n v="5"/>
    <n v="5"/>
    <n v="34765"/>
    <n v="119965"/>
    <x v="0"/>
    <x v="0"/>
    <x v="123"/>
  </r>
  <r>
    <s v="SFL-10136"/>
    <x v="6"/>
    <x v="1"/>
    <x v="2"/>
    <s v="CUS-4136"/>
    <x v="2"/>
    <x v="33"/>
    <x v="1"/>
    <x v="18"/>
    <n v="288000"/>
    <x v="3"/>
    <n v="17.7"/>
    <n v="26363"/>
    <n v="4"/>
    <n v="3"/>
    <n v="79089"/>
    <n v="220672"/>
    <x v="30"/>
    <x v="1"/>
    <x v="124"/>
  </r>
  <r>
    <s v="SFL-10137"/>
    <x v="5"/>
    <x v="0"/>
    <x v="3"/>
    <s v="CUS-4137"/>
    <x v="0"/>
    <x v="26"/>
    <x v="3"/>
    <x v="95"/>
    <n v="258000"/>
    <x v="0"/>
    <n v="13.7"/>
    <n v="12351"/>
    <n v="2"/>
    <n v="2"/>
    <n v="24702"/>
    <n v="239082"/>
    <x v="0"/>
    <x v="0"/>
    <x v="125"/>
  </r>
  <r>
    <s v="SFL-10138"/>
    <x v="2"/>
    <x v="2"/>
    <x v="1"/>
    <s v="CUS-4138"/>
    <x v="0"/>
    <x v="16"/>
    <x v="2"/>
    <x v="76"/>
    <n v="48000"/>
    <x v="1"/>
    <n v="10.6"/>
    <n v="8249"/>
    <n v="6"/>
    <n v="6"/>
    <n v="49494"/>
    <n v="0"/>
    <x v="0"/>
    <x v="0"/>
    <x v="126"/>
  </r>
  <r>
    <s v="SFL-10139"/>
    <x v="7"/>
    <x v="3"/>
    <x v="4"/>
    <s v="CUS-4139"/>
    <x v="1"/>
    <x v="4"/>
    <x v="3"/>
    <x v="6"/>
    <n v="343000"/>
    <x v="0"/>
    <n v="12.9"/>
    <n v="16291"/>
    <n v="6"/>
    <n v="6"/>
    <n v="97746"/>
    <n v="265317"/>
    <x v="0"/>
    <x v="0"/>
    <x v="127"/>
  </r>
  <r>
    <s v="SFL-10140"/>
    <x v="2"/>
    <x v="2"/>
    <x v="0"/>
    <s v="CUS-4140"/>
    <x v="2"/>
    <x v="12"/>
    <x v="1"/>
    <x v="53"/>
    <n v="1231000"/>
    <x v="2"/>
    <n v="11.6"/>
    <n v="40652"/>
    <n v="5"/>
    <n v="5"/>
    <n v="203260"/>
    <n v="1084432"/>
    <x v="0"/>
    <x v="0"/>
    <x v="128"/>
  </r>
  <r>
    <s v="SFL-10141"/>
    <x v="1"/>
    <x v="1"/>
    <x v="3"/>
    <s v="CUS-4141"/>
    <x v="0"/>
    <x v="5"/>
    <x v="2"/>
    <x v="23"/>
    <n v="751000"/>
    <x v="2"/>
    <n v="14.4"/>
    <n v="25814"/>
    <n v="5"/>
    <n v="5"/>
    <n v="129070"/>
    <n v="664952"/>
    <x v="0"/>
    <x v="0"/>
    <x v="129"/>
  </r>
  <r>
    <s v="SFL-10142"/>
    <x v="1"/>
    <x v="1"/>
    <x v="0"/>
    <s v="CUS-4142"/>
    <x v="1"/>
    <x v="16"/>
    <x v="2"/>
    <x v="96"/>
    <n v="412000"/>
    <x v="0"/>
    <n v="11.5"/>
    <n v="19298"/>
    <n v="2"/>
    <n v="2"/>
    <n v="38596"/>
    <n v="381153"/>
    <x v="0"/>
    <x v="0"/>
    <x v="130"/>
  </r>
  <r>
    <s v="SFL-10143"/>
    <x v="5"/>
    <x v="0"/>
    <x v="3"/>
    <s v="CUS-4143"/>
    <x v="1"/>
    <x v="29"/>
    <x v="0"/>
    <x v="94"/>
    <n v="102000"/>
    <x v="2"/>
    <n v="12.7"/>
    <n v="3422"/>
    <n v="5"/>
    <n v="3"/>
    <n v="10266"/>
    <n v="94898"/>
    <x v="31"/>
    <x v="1"/>
    <x v="131"/>
  </r>
  <r>
    <s v="SFL-10144"/>
    <x v="3"/>
    <x v="2"/>
    <x v="2"/>
    <s v="CUS-4144"/>
    <x v="1"/>
    <x v="9"/>
    <x v="2"/>
    <x v="13"/>
    <n v="320000"/>
    <x v="0"/>
    <n v="14.2"/>
    <n v="15394"/>
    <n v="5"/>
    <n v="5"/>
    <n v="76970"/>
    <n v="260572"/>
    <x v="0"/>
    <x v="0"/>
    <x v="132"/>
  </r>
  <r>
    <s v="SFL-10145"/>
    <x v="5"/>
    <x v="0"/>
    <x v="2"/>
    <s v="CUS-4145"/>
    <x v="2"/>
    <x v="17"/>
    <x v="0"/>
    <x v="97"/>
    <n v="381000"/>
    <x v="0"/>
    <n v="17.399999999999999"/>
    <n v="18911"/>
    <n v="3"/>
    <n v="2"/>
    <n v="37822"/>
    <n v="354033"/>
    <x v="32"/>
    <x v="1"/>
    <x v="133"/>
  </r>
  <r>
    <s v="SFL-10146"/>
    <x v="6"/>
    <x v="1"/>
    <x v="1"/>
    <s v="CUS-4146"/>
    <x v="0"/>
    <x v="28"/>
    <x v="0"/>
    <x v="8"/>
    <n v="157000"/>
    <x v="3"/>
    <n v="11.1"/>
    <n v="13883"/>
    <n v="5"/>
    <n v="5"/>
    <n v="69415"/>
    <n v="93684"/>
    <x v="0"/>
    <x v="0"/>
    <x v="134"/>
  </r>
  <r>
    <s v="SFL-10147"/>
    <x v="7"/>
    <x v="3"/>
    <x v="1"/>
    <s v="CUS-4147"/>
    <x v="2"/>
    <x v="3"/>
    <x v="0"/>
    <x v="98"/>
    <n v="189000"/>
    <x v="0"/>
    <n v="10"/>
    <n v="8721"/>
    <n v="6"/>
    <n v="6"/>
    <n v="52326"/>
    <n v="145218"/>
    <x v="0"/>
    <x v="0"/>
    <x v="135"/>
  </r>
  <r>
    <s v="SFL-10148"/>
    <x v="4"/>
    <x v="3"/>
    <x v="1"/>
    <s v="CUS-4148"/>
    <x v="2"/>
    <x v="30"/>
    <x v="1"/>
    <x v="4"/>
    <n v="106000"/>
    <x v="0"/>
    <n v="10.199999999999999"/>
    <n v="4901"/>
    <n v="6"/>
    <n v="6"/>
    <n v="29406"/>
    <n v="81483"/>
    <x v="0"/>
    <x v="0"/>
    <x v="136"/>
  </r>
  <r>
    <s v="SFL-10149"/>
    <x v="0"/>
    <x v="0"/>
    <x v="0"/>
    <s v="CUS-4149"/>
    <x v="1"/>
    <x v="33"/>
    <x v="1"/>
    <x v="34"/>
    <n v="740000"/>
    <x v="4"/>
    <n v="12.5"/>
    <n v="19669"/>
    <n v="6"/>
    <n v="6"/>
    <n v="118014"/>
    <n v="666340"/>
    <x v="0"/>
    <x v="0"/>
    <x v="137"/>
  </r>
  <r>
    <s v="SFL-10150"/>
    <x v="6"/>
    <x v="1"/>
    <x v="4"/>
    <s v="CUS-4150"/>
    <x v="2"/>
    <x v="21"/>
    <x v="0"/>
    <x v="93"/>
    <n v="350000"/>
    <x v="4"/>
    <n v="14.5"/>
    <n v="9652"/>
    <n v="2"/>
    <n v="2"/>
    <n v="19304"/>
    <n v="339088"/>
    <x v="0"/>
    <x v="0"/>
    <x v="138"/>
  </r>
  <r>
    <s v="SFL-10151"/>
    <x v="0"/>
    <x v="0"/>
    <x v="2"/>
    <s v="CUS-4151"/>
    <x v="1"/>
    <x v="18"/>
    <x v="2"/>
    <x v="77"/>
    <n v="405000"/>
    <x v="0"/>
    <n v="15"/>
    <n v="19637"/>
    <n v="5"/>
    <n v="5"/>
    <n v="98185"/>
    <n v="330282"/>
    <x v="0"/>
    <x v="0"/>
    <x v="139"/>
  </r>
  <r>
    <s v="SFL-10152"/>
    <x v="1"/>
    <x v="1"/>
    <x v="2"/>
    <s v="CUS-4152"/>
    <x v="0"/>
    <x v="5"/>
    <x v="2"/>
    <x v="99"/>
    <n v="423000"/>
    <x v="3"/>
    <n v="14.2"/>
    <n v="38020"/>
    <n v="6"/>
    <n v="5"/>
    <n v="190100"/>
    <n v="253975"/>
    <x v="33"/>
    <x v="1"/>
    <x v="140"/>
  </r>
  <r>
    <s v="SFL-10153"/>
    <x v="4"/>
    <x v="3"/>
    <x v="4"/>
    <s v="CUS-4153"/>
    <x v="2"/>
    <x v="4"/>
    <x v="3"/>
    <x v="80"/>
    <n v="1040000"/>
    <x v="2"/>
    <n v="15.9"/>
    <n v="36512"/>
    <n v="4"/>
    <n v="2"/>
    <n v="73024"/>
    <n v="994235"/>
    <x v="4"/>
    <x v="1"/>
    <x v="141"/>
  </r>
  <r>
    <s v="SFL-10154"/>
    <x v="1"/>
    <x v="1"/>
    <x v="0"/>
    <s v="CUS-4154"/>
    <x v="1"/>
    <x v="24"/>
    <x v="1"/>
    <x v="100"/>
    <n v="1004000"/>
    <x v="2"/>
    <n v="13"/>
    <n v="33829"/>
    <n v="2"/>
    <n v="2"/>
    <n v="67658"/>
    <n v="957847"/>
    <x v="0"/>
    <x v="0"/>
    <x v="142"/>
  </r>
  <r>
    <s v="SFL-10155"/>
    <x v="6"/>
    <x v="1"/>
    <x v="4"/>
    <s v="CUS-4155"/>
    <x v="1"/>
    <x v="13"/>
    <x v="2"/>
    <x v="101"/>
    <n v="385000"/>
    <x v="2"/>
    <n v="13.9"/>
    <n v="13140"/>
    <n v="2"/>
    <n v="2"/>
    <n v="26280"/>
    <n v="367539"/>
    <x v="0"/>
    <x v="0"/>
    <x v="143"/>
  </r>
  <r>
    <s v="SFL-10156"/>
    <x v="0"/>
    <x v="0"/>
    <x v="3"/>
    <s v="CUS-4156"/>
    <x v="1"/>
    <x v="22"/>
    <x v="3"/>
    <x v="76"/>
    <n v="655000"/>
    <x v="4"/>
    <n v="12.5"/>
    <n v="17410"/>
    <n v="6"/>
    <n v="6"/>
    <n v="104460"/>
    <n v="589801"/>
    <x v="0"/>
    <x v="0"/>
    <x v="144"/>
  </r>
  <r>
    <s v="SFL-10157"/>
    <x v="6"/>
    <x v="1"/>
    <x v="1"/>
    <s v="CUS-4157"/>
    <x v="0"/>
    <x v="7"/>
    <x v="1"/>
    <x v="102"/>
    <n v="150000"/>
    <x v="1"/>
    <n v="11.9"/>
    <n v="25875"/>
    <n v="6"/>
    <n v="6"/>
    <n v="155250"/>
    <n v="0"/>
    <x v="0"/>
    <x v="0"/>
    <x v="145"/>
  </r>
  <r>
    <s v="SFL-10158"/>
    <x v="3"/>
    <x v="2"/>
    <x v="1"/>
    <s v="CUS-4158"/>
    <x v="1"/>
    <x v="7"/>
    <x v="1"/>
    <x v="48"/>
    <n v="161000"/>
    <x v="0"/>
    <n v="10.4"/>
    <n v="7459"/>
    <n v="1"/>
    <n v="1"/>
    <n v="7459"/>
    <n v="154936"/>
    <x v="0"/>
    <x v="0"/>
    <x v="146"/>
  </r>
  <r>
    <s v="SFL-10159"/>
    <x v="3"/>
    <x v="2"/>
    <x v="2"/>
    <s v="CUS-4159"/>
    <x v="2"/>
    <x v="5"/>
    <x v="2"/>
    <x v="11"/>
    <n v="420000"/>
    <x v="3"/>
    <n v="14.9"/>
    <n v="37889"/>
    <n v="5"/>
    <n v="0"/>
    <n v="0"/>
    <n v="420000"/>
    <x v="34"/>
    <x v="2"/>
    <x v="8"/>
  </r>
  <r>
    <s v="SFL-10160"/>
    <x v="7"/>
    <x v="3"/>
    <x v="2"/>
    <s v="CUS-4160"/>
    <x v="0"/>
    <x v="12"/>
    <x v="1"/>
    <x v="30"/>
    <n v="474000"/>
    <x v="3"/>
    <n v="14.3"/>
    <n v="42626"/>
    <n v="5"/>
    <n v="3"/>
    <n v="127878"/>
    <n v="361740"/>
    <x v="35"/>
    <x v="1"/>
    <x v="147"/>
  </r>
  <r>
    <s v="SFL-10161"/>
    <x v="1"/>
    <x v="1"/>
    <x v="3"/>
    <s v="CUS-4161"/>
    <x v="1"/>
    <x v="30"/>
    <x v="1"/>
    <x v="64"/>
    <n v="661000"/>
    <x v="2"/>
    <n v="11.2"/>
    <n v="21703"/>
    <n v="4"/>
    <n v="4"/>
    <n v="86812"/>
    <n v="597990"/>
    <x v="0"/>
    <x v="0"/>
    <x v="148"/>
  </r>
  <r>
    <s v="SFL-10162"/>
    <x v="6"/>
    <x v="1"/>
    <x v="0"/>
    <s v="CUS-4162"/>
    <x v="1"/>
    <x v="32"/>
    <x v="1"/>
    <x v="103"/>
    <n v="1315000"/>
    <x v="2"/>
    <n v="13"/>
    <n v="44308"/>
    <n v="4"/>
    <n v="0"/>
    <n v="0"/>
    <n v="1315000"/>
    <x v="36"/>
    <x v="2"/>
    <x v="8"/>
  </r>
  <r>
    <s v="SFL-10163"/>
    <x v="1"/>
    <x v="1"/>
    <x v="4"/>
    <s v="CUS-4163"/>
    <x v="0"/>
    <x v="33"/>
    <x v="1"/>
    <x v="14"/>
    <n v="791000"/>
    <x v="2"/>
    <n v="16"/>
    <n v="27809"/>
    <n v="4"/>
    <n v="2"/>
    <n v="55618"/>
    <n v="756245"/>
    <x v="37"/>
    <x v="1"/>
    <x v="149"/>
  </r>
  <r>
    <s v="SFL-10164"/>
    <x v="2"/>
    <x v="2"/>
    <x v="0"/>
    <s v="CUS-4164"/>
    <x v="1"/>
    <x v="5"/>
    <x v="2"/>
    <x v="100"/>
    <n v="623000"/>
    <x v="4"/>
    <n v="12.3"/>
    <n v="16498"/>
    <n v="2"/>
    <n v="2"/>
    <n v="32996"/>
    <n v="602672"/>
    <x v="0"/>
    <x v="0"/>
    <x v="150"/>
  </r>
  <r>
    <s v="SFL-10165"/>
    <x v="2"/>
    <x v="2"/>
    <x v="3"/>
    <s v="CUS-4165"/>
    <x v="1"/>
    <x v="16"/>
    <x v="2"/>
    <x v="15"/>
    <n v="389000"/>
    <x v="2"/>
    <n v="11.5"/>
    <n v="12828"/>
    <n v="5"/>
    <n v="5"/>
    <n v="64140"/>
    <n v="342621"/>
    <x v="0"/>
    <x v="0"/>
    <x v="151"/>
  </r>
  <r>
    <s v="SFL-10166"/>
    <x v="3"/>
    <x v="2"/>
    <x v="4"/>
    <s v="CUS-4166"/>
    <x v="2"/>
    <x v="4"/>
    <x v="3"/>
    <x v="39"/>
    <n v="616000"/>
    <x v="0"/>
    <n v="15"/>
    <n v="29868"/>
    <n v="6"/>
    <n v="6"/>
    <n v="179208"/>
    <n v="478767"/>
    <x v="0"/>
    <x v="0"/>
    <x v="152"/>
  </r>
  <r>
    <s v="SFL-10167"/>
    <x v="3"/>
    <x v="2"/>
    <x v="4"/>
    <s v="CUS-4167"/>
    <x v="1"/>
    <x v="27"/>
    <x v="2"/>
    <x v="104"/>
    <n v="1348000"/>
    <x v="5"/>
    <n v="13.7"/>
    <n v="31156"/>
    <n v="3"/>
    <n v="3"/>
    <n v="93468"/>
    <n v="1300158"/>
    <x v="0"/>
    <x v="0"/>
    <x v="153"/>
  </r>
  <r>
    <s v="SFL-10168"/>
    <x v="5"/>
    <x v="0"/>
    <x v="1"/>
    <s v="CUS-4168"/>
    <x v="2"/>
    <x v="32"/>
    <x v="1"/>
    <x v="45"/>
    <n v="205000"/>
    <x v="3"/>
    <n v="10.199999999999999"/>
    <n v="18042"/>
    <n v="4"/>
    <n v="4"/>
    <n v="72168"/>
    <n v="138967"/>
    <x v="0"/>
    <x v="0"/>
    <x v="154"/>
  </r>
  <r>
    <s v="SFL-10169"/>
    <x v="0"/>
    <x v="0"/>
    <x v="2"/>
    <s v="CUS-4169"/>
    <x v="0"/>
    <x v="33"/>
    <x v="1"/>
    <x v="67"/>
    <n v="459000"/>
    <x v="2"/>
    <n v="14.4"/>
    <n v="15777"/>
    <n v="3"/>
    <n v="3"/>
    <n v="47331"/>
    <n v="427822"/>
    <x v="0"/>
    <x v="0"/>
    <x v="155"/>
  </r>
  <r>
    <s v="SFL-10170"/>
    <x v="1"/>
    <x v="1"/>
    <x v="3"/>
    <s v="CUS-4170"/>
    <x v="2"/>
    <x v="12"/>
    <x v="1"/>
    <x v="105"/>
    <n v="475000"/>
    <x v="4"/>
    <n v="13.2"/>
    <n v="12790"/>
    <n v="3"/>
    <n v="3"/>
    <n v="38370"/>
    <n v="452054"/>
    <x v="0"/>
    <x v="0"/>
    <x v="156"/>
  </r>
  <r>
    <s v="SFL-10171"/>
    <x v="4"/>
    <x v="3"/>
    <x v="3"/>
    <s v="CUS-4171"/>
    <x v="1"/>
    <x v="6"/>
    <x v="2"/>
    <x v="12"/>
    <n v="598000"/>
    <x v="0"/>
    <n v="11.8"/>
    <n v="28094"/>
    <n v="4"/>
    <n v="0"/>
    <n v="0"/>
    <n v="598000"/>
    <x v="38"/>
    <x v="2"/>
    <x v="8"/>
  </r>
  <r>
    <s v="SFL-10172"/>
    <x v="1"/>
    <x v="1"/>
    <x v="2"/>
    <s v="CUS-4172"/>
    <x v="0"/>
    <x v="29"/>
    <x v="0"/>
    <x v="28"/>
    <n v="88000"/>
    <x v="2"/>
    <n v="16.899999999999999"/>
    <n v="3133"/>
    <n v="6"/>
    <n v="0"/>
    <n v="0"/>
    <n v="88000"/>
    <x v="39"/>
    <x v="2"/>
    <x v="8"/>
  </r>
  <r>
    <s v="SFL-10173"/>
    <x v="4"/>
    <x v="3"/>
    <x v="1"/>
    <s v="CUS-4173"/>
    <x v="1"/>
    <x v="31"/>
    <x v="3"/>
    <x v="106"/>
    <n v="208000"/>
    <x v="1"/>
    <n v="10.6"/>
    <n v="35746"/>
    <n v="1"/>
    <n v="1"/>
    <n v="35746"/>
    <n v="174091"/>
    <x v="0"/>
    <x v="0"/>
    <x v="157"/>
  </r>
  <r>
    <s v="SFL-10174"/>
    <x v="2"/>
    <x v="2"/>
    <x v="3"/>
    <s v="CUS-4174"/>
    <x v="1"/>
    <x v="9"/>
    <x v="2"/>
    <x v="107"/>
    <n v="425000"/>
    <x v="2"/>
    <n v="11.2"/>
    <n v="13954"/>
    <n v="5"/>
    <n v="5"/>
    <n v="69770"/>
    <n v="374121"/>
    <x v="0"/>
    <x v="0"/>
    <x v="158"/>
  </r>
  <r>
    <s v="SFL-10175"/>
    <x v="7"/>
    <x v="3"/>
    <x v="1"/>
    <s v="CUS-4175"/>
    <x v="2"/>
    <x v="7"/>
    <x v="1"/>
    <x v="108"/>
    <n v="115000"/>
    <x v="3"/>
    <n v="11.4"/>
    <n v="10185"/>
    <n v="1"/>
    <n v="1"/>
    <n v="10185"/>
    <n v="105907"/>
    <x v="0"/>
    <x v="0"/>
    <x v="159"/>
  </r>
  <r>
    <s v="SFL-10176"/>
    <x v="3"/>
    <x v="2"/>
    <x v="4"/>
    <s v="CUS-4176"/>
    <x v="0"/>
    <x v="34"/>
    <x v="3"/>
    <x v="109"/>
    <n v="1705000"/>
    <x v="2"/>
    <n v="14.3"/>
    <n v="58522"/>
    <n v="3"/>
    <n v="2"/>
    <n v="117044"/>
    <n v="1628137"/>
    <x v="40"/>
    <x v="1"/>
    <x v="160"/>
  </r>
  <r>
    <s v="SFL-10177"/>
    <x v="7"/>
    <x v="3"/>
    <x v="0"/>
    <s v="CUS-4177"/>
    <x v="0"/>
    <x v="29"/>
    <x v="0"/>
    <x v="108"/>
    <n v="780000"/>
    <x v="0"/>
    <n v="11.5"/>
    <n v="36535"/>
    <n v="1"/>
    <n v="1"/>
    <n v="36535"/>
    <n v="750940"/>
    <x v="0"/>
    <x v="0"/>
    <x v="161"/>
  </r>
  <r>
    <s v="SFL-10178"/>
    <x v="1"/>
    <x v="1"/>
    <x v="3"/>
    <s v="CUS-4178"/>
    <x v="1"/>
    <x v="26"/>
    <x v="3"/>
    <x v="102"/>
    <n v="454000"/>
    <x v="4"/>
    <n v="11.6"/>
    <n v="11867"/>
    <n v="6"/>
    <n v="6"/>
    <n v="71202"/>
    <n v="408034"/>
    <x v="0"/>
    <x v="0"/>
    <x v="162"/>
  </r>
  <r>
    <s v="SFL-10179"/>
    <x v="4"/>
    <x v="3"/>
    <x v="2"/>
    <s v="CUS-4179"/>
    <x v="1"/>
    <x v="17"/>
    <x v="0"/>
    <x v="110"/>
    <n v="495000"/>
    <x v="2"/>
    <n v="17"/>
    <n v="17648"/>
    <n v="4"/>
    <n v="4"/>
    <n v="70592"/>
    <n v="451545"/>
    <x v="0"/>
    <x v="0"/>
    <x v="163"/>
  </r>
  <r>
    <s v="SFL-10180"/>
    <x v="5"/>
    <x v="0"/>
    <x v="2"/>
    <s v="CUS-4180"/>
    <x v="2"/>
    <x v="18"/>
    <x v="2"/>
    <x v="16"/>
    <n v="278000"/>
    <x v="0"/>
    <n v="14.7"/>
    <n v="13440"/>
    <n v="3"/>
    <n v="0"/>
    <n v="0"/>
    <n v="278000"/>
    <x v="41"/>
    <x v="2"/>
    <x v="8"/>
  </r>
  <r>
    <s v="SFL-10181"/>
    <x v="6"/>
    <x v="1"/>
    <x v="4"/>
    <s v="CUS-4181"/>
    <x v="1"/>
    <x v="2"/>
    <x v="2"/>
    <x v="100"/>
    <n v="1177000"/>
    <x v="5"/>
    <n v="15"/>
    <n v="28001"/>
    <n v="2"/>
    <n v="2"/>
    <n v="56002"/>
    <n v="1150257"/>
    <x v="0"/>
    <x v="0"/>
    <x v="164"/>
  </r>
  <r>
    <s v="SFL-10182"/>
    <x v="5"/>
    <x v="0"/>
    <x v="0"/>
    <s v="CUS-4182"/>
    <x v="0"/>
    <x v="22"/>
    <x v="3"/>
    <x v="111"/>
    <n v="476000"/>
    <x v="4"/>
    <n v="11.2"/>
    <n v="12349"/>
    <n v="1"/>
    <n v="1"/>
    <n v="12349"/>
    <n v="468094"/>
    <x v="0"/>
    <x v="0"/>
    <x v="165"/>
  </r>
  <r>
    <s v="SFL-10183"/>
    <x v="0"/>
    <x v="0"/>
    <x v="3"/>
    <s v="CUS-4183"/>
    <x v="0"/>
    <x v="2"/>
    <x v="2"/>
    <x v="107"/>
    <n v="360000"/>
    <x v="5"/>
    <n v="11.5"/>
    <n v="7917"/>
    <n v="5"/>
    <n v="4"/>
    <n v="31668"/>
    <n v="341872"/>
    <x v="42"/>
    <x v="1"/>
    <x v="166"/>
  </r>
  <r>
    <s v="SFL-10184"/>
    <x v="3"/>
    <x v="2"/>
    <x v="0"/>
    <s v="CUS-4184"/>
    <x v="2"/>
    <x v="30"/>
    <x v="1"/>
    <x v="9"/>
    <n v="1480000"/>
    <x v="4"/>
    <n v="10.3"/>
    <n v="37750"/>
    <n v="3"/>
    <n v="3"/>
    <n v="113250"/>
    <n v="1404213"/>
    <x v="0"/>
    <x v="0"/>
    <x v="167"/>
  </r>
  <r>
    <s v="SFL-10185"/>
    <x v="3"/>
    <x v="2"/>
    <x v="2"/>
    <s v="CUS-4185"/>
    <x v="2"/>
    <x v="15"/>
    <x v="2"/>
    <x v="112"/>
    <n v="174000"/>
    <x v="3"/>
    <n v="16.399999999999999"/>
    <n v="15820"/>
    <n v="6"/>
    <n v="3"/>
    <n v="47460"/>
    <n v="133120"/>
    <x v="43"/>
    <x v="1"/>
    <x v="168"/>
  </r>
  <r>
    <s v="SFL-10186"/>
    <x v="7"/>
    <x v="3"/>
    <x v="2"/>
    <s v="CUS-4186"/>
    <x v="0"/>
    <x v="4"/>
    <x v="3"/>
    <x v="6"/>
    <n v="450000"/>
    <x v="0"/>
    <n v="14.4"/>
    <n v="21691"/>
    <n v="6"/>
    <n v="5"/>
    <n v="108455"/>
    <n v="366567"/>
    <x v="44"/>
    <x v="1"/>
    <x v="169"/>
  </r>
  <r>
    <s v="SFL-10187"/>
    <x v="1"/>
    <x v="1"/>
    <x v="3"/>
    <s v="CUS-4187"/>
    <x v="0"/>
    <x v="6"/>
    <x v="2"/>
    <x v="60"/>
    <n v="671000"/>
    <x v="2"/>
    <n v="13.4"/>
    <n v="22738"/>
    <n v="4"/>
    <n v="0"/>
    <n v="0"/>
    <n v="671000"/>
    <x v="45"/>
    <x v="2"/>
    <x v="8"/>
  </r>
  <r>
    <s v="SFL-10188"/>
    <x v="4"/>
    <x v="3"/>
    <x v="4"/>
    <s v="CUS-4188"/>
    <x v="1"/>
    <x v="17"/>
    <x v="0"/>
    <x v="7"/>
    <n v="697000"/>
    <x v="4"/>
    <n v="13.5"/>
    <n v="18872"/>
    <n v="4"/>
    <n v="4"/>
    <n v="75488"/>
    <n v="652126"/>
    <x v="0"/>
    <x v="0"/>
    <x v="170"/>
  </r>
  <r>
    <s v="SFL-10189"/>
    <x v="5"/>
    <x v="0"/>
    <x v="1"/>
    <s v="CUS-4189"/>
    <x v="1"/>
    <x v="11"/>
    <x v="0"/>
    <x v="24"/>
    <n v="262000"/>
    <x v="3"/>
    <n v="11.8"/>
    <n v="23254"/>
    <n v="1"/>
    <n v="1"/>
    <n v="23254"/>
    <n v="241322"/>
    <x v="0"/>
    <x v="0"/>
    <x v="171"/>
  </r>
  <r>
    <s v="SFL-10190"/>
    <x v="7"/>
    <x v="3"/>
    <x v="0"/>
    <s v="CUS-4190"/>
    <x v="1"/>
    <x v="13"/>
    <x v="2"/>
    <x v="113"/>
    <n v="1037000"/>
    <x v="4"/>
    <n v="11.7"/>
    <n v="27156"/>
    <n v="3"/>
    <n v="3"/>
    <n v="81468"/>
    <n v="985365"/>
    <x v="0"/>
    <x v="0"/>
    <x v="172"/>
  </r>
  <r>
    <s v="SFL-10191"/>
    <x v="2"/>
    <x v="2"/>
    <x v="1"/>
    <s v="CUS-4191"/>
    <x v="2"/>
    <x v="34"/>
    <x v="3"/>
    <x v="96"/>
    <n v="59000"/>
    <x v="1"/>
    <n v="11.9"/>
    <n v="10177"/>
    <n v="2"/>
    <n v="2"/>
    <n v="20354"/>
    <n v="39720"/>
    <x v="0"/>
    <x v="0"/>
    <x v="173"/>
  </r>
  <r>
    <s v="SFL-10192"/>
    <x v="6"/>
    <x v="1"/>
    <x v="0"/>
    <s v="CUS-4192"/>
    <x v="2"/>
    <x v="14"/>
    <x v="1"/>
    <x v="32"/>
    <n v="1006000"/>
    <x v="4"/>
    <n v="10.5"/>
    <n v="25757"/>
    <n v="4"/>
    <n v="0"/>
    <n v="0"/>
    <n v="1006000"/>
    <x v="21"/>
    <x v="2"/>
    <x v="8"/>
  </r>
  <r>
    <s v="SFL-10193"/>
    <x v="0"/>
    <x v="0"/>
    <x v="1"/>
    <s v="CUS-4193"/>
    <x v="2"/>
    <x v="28"/>
    <x v="0"/>
    <x v="114"/>
    <n v="268000"/>
    <x v="3"/>
    <n v="12"/>
    <n v="23811"/>
    <n v="3"/>
    <n v="3"/>
    <n v="71433"/>
    <n v="203970"/>
    <x v="0"/>
    <x v="0"/>
    <x v="174"/>
  </r>
  <r>
    <s v="SFL-10194"/>
    <x v="2"/>
    <x v="2"/>
    <x v="2"/>
    <s v="CUS-4194"/>
    <x v="0"/>
    <x v="31"/>
    <x v="3"/>
    <x v="115"/>
    <n v="314000"/>
    <x v="0"/>
    <n v="16.100000000000001"/>
    <n v="15389"/>
    <n v="6"/>
    <n v="6"/>
    <n v="92334"/>
    <n v="244651"/>
    <x v="0"/>
    <x v="0"/>
    <x v="175"/>
  </r>
  <r>
    <s v="SFL-10195"/>
    <x v="6"/>
    <x v="1"/>
    <x v="2"/>
    <s v="CUS-4195"/>
    <x v="2"/>
    <x v="13"/>
    <x v="2"/>
    <x v="50"/>
    <n v="258000"/>
    <x v="2"/>
    <n v="17"/>
    <n v="9198"/>
    <n v="6"/>
    <n v="6"/>
    <n v="55188"/>
    <n v="223539"/>
    <x v="0"/>
    <x v="0"/>
    <x v="176"/>
  </r>
  <r>
    <s v="SFL-10196"/>
    <x v="4"/>
    <x v="3"/>
    <x v="2"/>
    <s v="CUS-4196"/>
    <x v="2"/>
    <x v="11"/>
    <x v="0"/>
    <x v="33"/>
    <n v="163000"/>
    <x v="3"/>
    <n v="15.6"/>
    <n v="14758"/>
    <n v="2"/>
    <n v="1"/>
    <n v="14758"/>
    <n v="150361"/>
    <x v="46"/>
    <x v="1"/>
    <x v="177"/>
  </r>
  <r>
    <s v="SFL-10197"/>
    <x v="3"/>
    <x v="2"/>
    <x v="2"/>
    <s v="CUS-4197"/>
    <x v="1"/>
    <x v="35"/>
    <x v="1"/>
    <x v="116"/>
    <n v="379000"/>
    <x v="0"/>
    <n v="17.399999999999999"/>
    <n v="18812"/>
    <n v="6"/>
    <n v="6"/>
    <n v="112872"/>
    <n v="296151"/>
    <x v="0"/>
    <x v="0"/>
    <x v="178"/>
  </r>
  <r>
    <s v="SFL-10198"/>
    <x v="1"/>
    <x v="1"/>
    <x v="0"/>
    <s v="CUS-4198"/>
    <x v="2"/>
    <x v="10"/>
    <x v="2"/>
    <x v="18"/>
    <n v="912000"/>
    <x v="4"/>
    <n v="10.1"/>
    <n v="23174"/>
    <n v="4"/>
    <n v="4"/>
    <n v="92696"/>
    <n v="849219"/>
    <x v="0"/>
    <x v="0"/>
    <x v="179"/>
  </r>
  <r>
    <s v="SFL-10199"/>
    <x v="7"/>
    <x v="3"/>
    <x v="2"/>
    <s v="CUS-4199"/>
    <x v="0"/>
    <x v="21"/>
    <x v="0"/>
    <x v="33"/>
    <n v="401000"/>
    <x v="2"/>
    <n v="16.399999999999999"/>
    <n v="14177"/>
    <n v="2"/>
    <n v="2"/>
    <n v="28354"/>
    <n v="383487"/>
    <x v="0"/>
    <x v="0"/>
    <x v="180"/>
  </r>
  <r>
    <s v="SFL-10200"/>
    <x v="2"/>
    <x v="2"/>
    <x v="0"/>
    <s v="CUS-4200"/>
    <x v="2"/>
    <x v="28"/>
    <x v="0"/>
    <x v="94"/>
    <n v="1158000"/>
    <x v="4"/>
    <n v="10"/>
    <n v="29370"/>
    <n v="5"/>
    <n v="4"/>
    <n v="117480"/>
    <n v="1078129"/>
    <x v="33"/>
    <x v="1"/>
    <x v="1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7EE0CA-91BF-42F9-A9A7-291E89D0BDB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45:E155" firstHeaderRow="1" firstDataRow="2" firstDataCol="1"/>
  <pivotFields count="26">
    <pivotField dataField="1" showAll="0"/>
    <pivotField axis="axisRow"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items count="7">
        <item x="1"/>
        <item x="3"/>
        <item x="0"/>
        <item x="2"/>
        <item x="4"/>
        <item x="5"/>
        <item t="default"/>
      </items>
    </pivotField>
    <pivotField numFmtId="165" showAll="0"/>
    <pivotField numFmtId="3" showAll="0"/>
    <pivotField showAll="0"/>
    <pivotField showAll="0"/>
    <pivotField numFmtId="3" showAll="0"/>
    <pivotField numFmtId="3" showAll="0"/>
    <pivotField showAll="0"/>
    <pivotField axis="axisCol" multipleItemSelectionAllowed="1" showAll="0">
      <items count="4">
        <item x="0"/>
        <item x="2"/>
        <item x="1"/>
        <item t="default"/>
      </items>
    </pivotField>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Fields count="1">
    <field x="18"/>
  </colFields>
  <colItems count="4">
    <i>
      <x/>
    </i>
    <i>
      <x v="1"/>
    </i>
    <i>
      <x v="2"/>
    </i>
    <i t="grand">
      <x/>
    </i>
  </colItems>
  <dataFields count="1">
    <dataField name="Count of LoanID" fld="0" subtotal="count" baseField="0" baseItem="0"/>
  </dataFields>
  <formats count="1">
    <format dxfId="0">
      <pivotArea dataOnly="0"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50EC09-BE6C-4ABE-AE06-86C6DBD5DDE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39:C143" firstHeaderRow="0" firstDataRow="1" firstDataCol="1"/>
  <pivotFields count="26">
    <pivotField dataField="1" showAll="0"/>
    <pivotField showAll="0"/>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dataField="1" numFmtId="3" showAll="0"/>
    <pivotField showAll="0"/>
    <pivotField axis="axisRow" showAll="0">
      <items count="4">
        <item x="0"/>
        <item x="2"/>
        <item x="1"/>
        <item t="default"/>
      </items>
    </pivotField>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8"/>
  </rowFields>
  <rowItems count="4">
    <i>
      <x/>
    </i>
    <i>
      <x v="1"/>
    </i>
    <i>
      <x v="2"/>
    </i>
    <i t="grand">
      <x/>
    </i>
  </rowItems>
  <colFields count="1">
    <field x="-2"/>
  </colFields>
  <colItems count="2">
    <i>
      <x/>
    </i>
    <i i="1">
      <x v="1"/>
    </i>
  </colItems>
  <dataFields count="2">
    <dataField name="Count of LoanID" fld="0" subtotal="count" baseField="0" baseItem="0"/>
    <dataField name="Sum of OutstandingPrincipal" fld="16" baseField="0" baseItem="0"/>
  </dataFields>
  <formats count="2">
    <format dxfId="2">
      <pivotArea dataOnly="0" fieldPosition="0">
        <references count="1">
          <reference field="18" count="1">
            <x v="2"/>
          </reference>
        </references>
      </pivotArea>
    </format>
    <format dxfId="1">
      <pivotArea field="18"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72B373-12D4-4898-BBD7-9988742F2B3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63:A164" firstHeaderRow="1" firstDataRow="1" firstDataCol="0"/>
  <pivotFields count="26">
    <pivotField dataField="1" showAll="0"/>
    <pivotField showAll="0"/>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multipleItemSelectionAllowe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Loan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73A0F0-A82B-42DE-8B98-C32F4EFC57B5}"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78:B187" firstHeaderRow="1" firstDataRow="1" firstDataCol="1"/>
  <pivotFields count="26">
    <pivotField showAll="0"/>
    <pivotField axis="axisRow"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showAll="0"/>
    <pivotField dataField="1" numFmtId="3" showAll="0">
      <items count="183">
        <item x="8"/>
        <item x="6"/>
        <item x="72"/>
        <item x="45"/>
        <item x="98"/>
        <item x="20"/>
        <item x="55"/>
        <item x="173"/>
        <item x="159"/>
        <item x="35"/>
        <item x="146"/>
        <item x="126"/>
        <item x="68"/>
        <item x="157"/>
        <item x="31"/>
        <item x="177"/>
        <item x="119"/>
        <item x="32"/>
        <item x="121"/>
        <item x="1"/>
        <item x="87"/>
        <item x="95"/>
        <item x="171"/>
        <item x="60"/>
        <item x="101"/>
        <item x="131"/>
        <item x="117"/>
        <item x="69"/>
        <item x="92"/>
        <item x="34"/>
        <item x="86"/>
        <item x="122"/>
        <item x="71"/>
        <item x="33"/>
        <item x="38"/>
        <item x="59"/>
        <item x="89"/>
        <item x="73"/>
        <item x="165"/>
        <item x="120"/>
        <item x="113"/>
        <item x="42"/>
        <item x="136"/>
        <item x="78"/>
        <item x="41"/>
        <item x="111"/>
        <item x="145"/>
        <item x="18"/>
        <item x="99"/>
        <item x="125"/>
        <item x="106"/>
        <item x="16"/>
        <item x="134"/>
        <item x="82"/>
        <item x="154"/>
        <item x="47"/>
        <item x="168"/>
        <item x="123"/>
        <item x="67"/>
        <item x="114"/>
        <item x="174"/>
        <item x="161"/>
        <item x="5"/>
        <item x="17"/>
        <item x="14"/>
        <item x="65"/>
        <item x="130"/>
        <item x="94"/>
        <item x="138"/>
        <item x="135"/>
        <item x="112"/>
        <item x="143"/>
        <item x="91"/>
        <item x="44"/>
        <item x="74"/>
        <item x="19"/>
        <item x="79"/>
        <item x="88"/>
        <item x="49"/>
        <item x="56"/>
        <item x="100"/>
        <item x="30"/>
        <item x="180"/>
        <item x="133"/>
        <item x="28"/>
        <item x="124"/>
        <item x="43"/>
        <item x="46"/>
        <item x="150"/>
        <item x="57"/>
        <item x="166"/>
        <item x="64"/>
        <item x="107"/>
        <item x="37"/>
        <item x="97"/>
        <item x="40"/>
        <item x="21"/>
        <item x="36"/>
        <item x="27"/>
        <item x="156"/>
        <item x="147"/>
        <item x="3"/>
        <item x="155"/>
        <item x="53"/>
        <item x="132"/>
        <item x="15"/>
        <item x="151"/>
        <item x="62"/>
        <item x="103"/>
        <item x="158"/>
        <item x="22"/>
        <item x="109"/>
        <item x="127"/>
        <item x="11"/>
        <item x="85"/>
        <item x="176"/>
        <item x="149"/>
        <item x="105"/>
        <item x="140"/>
        <item x="142"/>
        <item x="25"/>
        <item x="76"/>
        <item x="84"/>
        <item x="108"/>
        <item x="175"/>
        <item x="118"/>
        <item x="139"/>
        <item x="110"/>
        <item x="148"/>
        <item x="48"/>
        <item x="104"/>
        <item x="169"/>
        <item x="162"/>
        <item x="93"/>
        <item x="52"/>
        <item x="116"/>
        <item x="163"/>
        <item x="141"/>
        <item x="80"/>
        <item x="51"/>
        <item x="4"/>
        <item x="24"/>
        <item x="81"/>
        <item x="7"/>
        <item x="164"/>
        <item x="172"/>
        <item x="179"/>
        <item x="178"/>
        <item x="170"/>
        <item x="50"/>
        <item x="96"/>
        <item x="90"/>
        <item x="70"/>
        <item x="2"/>
        <item x="13"/>
        <item x="167"/>
        <item x="181"/>
        <item x="144"/>
        <item x="63"/>
        <item x="160"/>
        <item x="152"/>
        <item x="54"/>
        <item x="129"/>
        <item x="137"/>
        <item x="12"/>
        <item x="0"/>
        <item x="29"/>
        <item x="153"/>
        <item x="9"/>
        <item x="115"/>
        <item x="83"/>
        <item x="128"/>
        <item x="58"/>
        <item x="39"/>
        <item x="77"/>
        <item x="10"/>
        <item x="23"/>
        <item x="75"/>
        <item x="61"/>
        <item x="66"/>
        <item x="26"/>
        <item x="10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Items count="1">
    <i/>
  </colItems>
  <dataFields count="1">
    <dataField name="Sum of InterestIncomeEarned" fld="19" baseField="0" baseItem="0"/>
  </dataFields>
  <formats count="1">
    <format dxfId="3">
      <pivotArea dataOnly="0" fieldPosition="0">
        <references count="1">
          <reference field="1" count="1">
            <x v="4"/>
          </reference>
        </references>
      </pivotArea>
    </format>
  </formats>
  <chartFormats count="1">
    <chartFormat chart="36" format="18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78D6C0-B737-409A-8708-4218A3717715}"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8:B172" firstHeaderRow="1" firstDataRow="1" firstDataCol="1"/>
  <pivotFields count="26">
    <pivotField showAll="0"/>
    <pivotField showAll="0"/>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dataField="1" numFmtId="3" showAll="0"/>
    <pivotField axis="axisRow" showAll="0">
      <items count="4">
        <item x="0"/>
        <item x="1"/>
        <item x="2"/>
        <item t="default"/>
      </items>
    </pivotField>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4">
    <i>
      <x/>
    </i>
    <i>
      <x v="1"/>
    </i>
    <i>
      <x v="2"/>
    </i>
    <i t="grand">
      <x/>
    </i>
  </rowItems>
  <colItems count="1">
    <i/>
  </colItems>
  <dataFields count="1">
    <dataField name="Sum of OutstandingPrincipal" fld="1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4F3678-403C-4EC2-B81E-BB592D9337A3}"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91:B197" firstHeaderRow="1" firstDataRow="1" firstDataCol="1"/>
  <pivotFields count="26">
    <pivotField showAll="0"/>
    <pivotField showAll="0"/>
    <pivotField showAll="0">
      <items count="5">
        <item x="3"/>
        <item x="1"/>
        <item x="0"/>
        <item x="2"/>
        <item t="default"/>
      </items>
    </pivotField>
    <pivotField axis="axisRow"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showAll="0"/>
    <pivotField dataField="1" numFmtId="3" showAll="0">
      <items count="183">
        <item x="8"/>
        <item x="6"/>
        <item x="72"/>
        <item x="45"/>
        <item x="98"/>
        <item x="20"/>
        <item x="55"/>
        <item x="173"/>
        <item x="159"/>
        <item x="35"/>
        <item x="146"/>
        <item x="126"/>
        <item x="68"/>
        <item x="157"/>
        <item x="31"/>
        <item x="177"/>
        <item x="119"/>
        <item x="32"/>
        <item x="121"/>
        <item x="1"/>
        <item x="87"/>
        <item x="95"/>
        <item x="171"/>
        <item x="60"/>
        <item x="101"/>
        <item x="131"/>
        <item x="117"/>
        <item x="69"/>
        <item x="92"/>
        <item x="34"/>
        <item x="86"/>
        <item x="122"/>
        <item x="71"/>
        <item x="33"/>
        <item x="38"/>
        <item x="59"/>
        <item x="89"/>
        <item x="73"/>
        <item x="165"/>
        <item x="120"/>
        <item x="113"/>
        <item x="42"/>
        <item x="136"/>
        <item x="78"/>
        <item x="41"/>
        <item x="111"/>
        <item x="145"/>
        <item x="18"/>
        <item x="99"/>
        <item x="125"/>
        <item x="106"/>
        <item x="16"/>
        <item x="134"/>
        <item x="82"/>
        <item x="154"/>
        <item x="47"/>
        <item x="168"/>
        <item x="123"/>
        <item x="67"/>
        <item x="114"/>
        <item x="174"/>
        <item x="161"/>
        <item x="5"/>
        <item x="17"/>
        <item x="14"/>
        <item x="65"/>
        <item x="130"/>
        <item x="94"/>
        <item x="138"/>
        <item x="135"/>
        <item x="112"/>
        <item x="143"/>
        <item x="91"/>
        <item x="44"/>
        <item x="74"/>
        <item x="19"/>
        <item x="79"/>
        <item x="88"/>
        <item x="49"/>
        <item x="56"/>
        <item x="100"/>
        <item x="30"/>
        <item x="180"/>
        <item x="133"/>
        <item x="28"/>
        <item x="124"/>
        <item x="43"/>
        <item x="46"/>
        <item x="150"/>
        <item x="57"/>
        <item x="166"/>
        <item x="64"/>
        <item x="107"/>
        <item x="37"/>
        <item x="97"/>
        <item x="40"/>
        <item x="21"/>
        <item x="36"/>
        <item x="27"/>
        <item x="156"/>
        <item x="147"/>
        <item x="3"/>
        <item x="155"/>
        <item x="53"/>
        <item x="132"/>
        <item x="15"/>
        <item x="151"/>
        <item x="62"/>
        <item x="103"/>
        <item x="158"/>
        <item x="22"/>
        <item x="109"/>
        <item x="127"/>
        <item x="11"/>
        <item x="85"/>
        <item x="176"/>
        <item x="149"/>
        <item x="105"/>
        <item x="140"/>
        <item x="142"/>
        <item x="25"/>
        <item x="76"/>
        <item x="84"/>
        <item x="108"/>
        <item x="175"/>
        <item x="118"/>
        <item x="139"/>
        <item x="110"/>
        <item x="148"/>
        <item x="48"/>
        <item x="104"/>
        <item x="169"/>
        <item x="162"/>
        <item x="93"/>
        <item x="52"/>
        <item x="116"/>
        <item x="163"/>
        <item x="141"/>
        <item x="80"/>
        <item x="51"/>
        <item x="4"/>
        <item x="24"/>
        <item x="81"/>
        <item x="7"/>
        <item x="164"/>
        <item x="172"/>
        <item x="179"/>
        <item x="178"/>
        <item x="170"/>
        <item x="50"/>
        <item x="96"/>
        <item x="90"/>
        <item x="70"/>
        <item x="2"/>
        <item x="13"/>
        <item x="167"/>
        <item x="181"/>
        <item x="144"/>
        <item x="63"/>
        <item x="160"/>
        <item x="152"/>
        <item x="54"/>
        <item x="129"/>
        <item x="137"/>
        <item x="12"/>
        <item x="0"/>
        <item x="29"/>
        <item x="153"/>
        <item x="9"/>
        <item x="115"/>
        <item x="83"/>
        <item x="128"/>
        <item x="58"/>
        <item x="39"/>
        <item x="77"/>
        <item x="10"/>
        <item x="23"/>
        <item x="75"/>
        <item x="61"/>
        <item x="66"/>
        <item x="26"/>
        <item x="10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Items count="1">
    <i/>
  </colItems>
  <dataFields count="1">
    <dataField name="Sum of InterestIncomeEarned" fld="19" baseField="0" baseItem="0"/>
  </dataFields>
  <formats count="1">
    <format dxfId="4">
      <pivotArea collapsedLevelsAreSubtotals="1" fieldPosition="0">
        <references count="1">
          <reference field="3" count="1">
            <x v="0"/>
          </reference>
        </references>
      </pivotArea>
    </format>
  </formats>
  <chartFormats count="1">
    <chartFormat chart="39" format="18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E7F8DC-63F0-46CC-A2FA-40B4CCFA790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8:E65" firstHeaderRow="1" firstDataRow="2" firstDataCol="1"/>
  <pivotFields count="26">
    <pivotField dataField="1" showAll="0"/>
    <pivotField showAll="0"/>
    <pivotField showAll="0">
      <items count="5">
        <item x="3"/>
        <item x="1"/>
        <item x="0"/>
        <item x="2"/>
        <item t="default"/>
      </items>
    </pivotField>
    <pivotField axis="axisRow"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18"/>
  </colFields>
  <colItems count="4">
    <i>
      <x/>
    </i>
    <i>
      <x v="1"/>
    </i>
    <i>
      <x v="2"/>
    </i>
    <i t="grand">
      <x/>
    </i>
  </colItems>
  <dataFields count="1">
    <dataField name="Count of LoanID" fld="0" subtotal="count" showDataAs="percentOfRow" baseField="0" baseItem="0" numFmtId="10"/>
  </dataFields>
  <chartFormats count="3">
    <chartFormat chart="6" format="0" series="1">
      <pivotArea type="data" outline="0" fieldPosition="0">
        <references count="2">
          <reference field="4294967294" count="1" selected="0">
            <x v="0"/>
          </reference>
          <reference field="18" count="1" selected="0">
            <x v="0"/>
          </reference>
        </references>
      </pivotArea>
    </chartFormat>
    <chartFormat chart="6" format="1" series="1">
      <pivotArea type="data" outline="0" fieldPosition="0">
        <references count="2">
          <reference field="4294967294" count="1" selected="0">
            <x v="0"/>
          </reference>
          <reference field="18" count="1" selected="0">
            <x v="1"/>
          </reference>
        </references>
      </pivotArea>
    </chartFormat>
    <chartFormat chart="6" format="2"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B6B184-1E04-4006-82E0-622739673B5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3:E89" firstHeaderRow="1" firstDataRow="2" firstDataCol="1"/>
  <pivotFields count="26">
    <pivotField dataField="1" showAll="0"/>
    <pivotField showAll="0"/>
    <pivotField showAll="0">
      <items count="5">
        <item x="3"/>
        <item x="1"/>
        <item x="0"/>
        <item x="2"/>
        <item t="default"/>
      </items>
    </pivotField>
    <pivotField showAll="0">
      <items count="6">
        <item x="4"/>
        <item x="1"/>
        <item x="3"/>
        <item x="2"/>
        <item x="0"/>
        <item t="default"/>
      </items>
    </pivotField>
    <pivotField showAll="0"/>
    <pivotField showAll="0"/>
    <pivotField showAll="0"/>
    <pivotField axis="axisRow" showAll="0">
      <items count="6">
        <item x="3"/>
        <item x="1"/>
        <item x="2"/>
        <item x="0"/>
        <item m="1" x="4"/>
        <item t="default"/>
      </items>
    </pivotField>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5">
    <i>
      <x/>
    </i>
    <i>
      <x v="1"/>
    </i>
    <i>
      <x v="2"/>
    </i>
    <i>
      <x v="3"/>
    </i>
    <i t="grand">
      <x/>
    </i>
  </rowItems>
  <colFields count="1">
    <field x="18"/>
  </colFields>
  <colItems count="4">
    <i>
      <x/>
    </i>
    <i>
      <x v="1"/>
    </i>
    <i>
      <x v="2"/>
    </i>
    <i t="grand">
      <x/>
    </i>
  </colItems>
  <dataFields count="1">
    <dataField name="Count of Loan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45F976-D1E1-4128-929F-D5ECA6CDD0F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1:B117" firstHeaderRow="1" firstDataRow="1" firstDataCol="1"/>
  <pivotFields count="26">
    <pivotField showAll="0"/>
    <pivotField showAll="0"/>
    <pivotField showAll="0">
      <items count="5">
        <item x="3"/>
        <item x="1"/>
        <item x="0"/>
        <item x="2"/>
        <item t="default"/>
      </items>
    </pivotField>
    <pivotField axis="axisRow"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3"/>
  </rowFields>
  <rowItems count="6">
    <i>
      <x v="3"/>
    </i>
    <i>
      <x/>
    </i>
    <i>
      <x v="2"/>
    </i>
    <i>
      <x v="4"/>
    </i>
    <i>
      <x v="1"/>
    </i>
    <i t="grand">
      <x/>
    </i>
  </rowItems>
  <colItems count="1">
    <i/>
  </colItems>
  <dataFields count="1">
    <dataField name="Sum of %prof" fld="25" baseField="0" baseItem="0" numFmtId="166"/>
  </dataFields>
  <formats count="4">
    <format dxfId="8">
      <pivotArea collapsedLevelsAreSubtotals="1" fieldPosition="0">
        <references count="1">
          <reference field="3" count="1">
            <x v="0"/>
          </reference>
        </references>
      </pivotArea>
    </format>
    <format dxfId="7">
      <pivotArea outline="0" collapsedLevelsAreSubtotals="1" fieldPosition="0"/>
    </format>
    <format dxfId="6">
      <pivotArea dataOnly="0" fieldPosition="0">
        <references count="1">
          <reference field="3" count="1">
            <x v="3"/>
          </reference>
        </references>
      </pivotArea>
    </format>
    <format dxfId="5">
      <pivotArea dataOnly="0" fieldPosition="0">
        <references count="1">
          <reference field="3" count="1">
            <x v="3"/>
          </reference>
        </references>
      </pivotArea>
    </format>
  </formats>
  <chartFormats count="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3" count="1" selected="0">
            <x v="3"/>
          </reference>
        </references>
      </pivotArea>
    </chartFormat>
    <chartFormat chart="13" format="2">
      <pivotArea type="data" outline="0" fieldPosition="0">
        <references count="2">
          <reference field="4294967294" count="1" selected="0">
            <x v="0"/>
          </reference>
          <reference field="3" count="1" selected="0">
            <x v="0"/>
          </reference>
        </references>
      </pivotArea>
    </chartFormat>
    <chartFormat chart="13" format="3">
      <pivotArea type="data" outline="0" fieldPosition="0">
        <references count="2">
          <reference field="4294967294" count="1" selected="0">
            <x v="0"/>
          </reference>
          <reference field="3" count="1" selected="0">
            <x v="2"/>
          </reference>
        </references>
      </pivotArea>
    </chartFormat>
    <chartFormat chart="13" format="4">
      <pivotArea type="data" outline="0" fieldPosition="0">
        <references count="2">
          <reference field="4294967294" count="1" selected="0">
            <x v="0"/>
          </reference>
          <reference field="3" count="1" selected="0">
            <x v="4"/>
          </reference>
        </references>
      </pivotArea>
    </chartFormat>
    <chartFormat chart="13"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8952C8-0C87-4BCC-83A1-E5EF2A45A7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E35" firstHeaderRow="1" firstDataRow="2" firstDataCol="1"/>
  <pivotFields count="26">
    <pivotField dataField="1" showAll="0"/>
    <pivotField axis="axisRow"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Fields count="1">
    <field x="18"/>
  </colFields>
  <colItems count="4">
    <i>
      <x/>
    </i>
    <i>
      <x v="1"/>
    </i>
    <i>
      <x v="2"/>
    </i>
    <i t="grand">
      <x/>
    </i>
  </colItems>
  <dataFields count="1">
    <dataField name="Count of Loan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3E8D3C-1472-4828-BFF0-0C35CF82EF4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23:C132" firstHeaderRow="0" firstDataRow="1" firstDataCol="1"/>
  <pivotFields count="26">
    <pivotField showAll="0"/>
    <pivotField axis="axisRow" showAll="0" sortType="descending">
      <items count="9">
        <item x="0"/>
        <item x="7"/>
        <item x="5"/>
        <item x="1"/>
        <item x="4"/>
        <item x="6"/>
        <item x="3"/>
        <item x="2"/>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dataField="1" numFmtId="3" showAll="0"/>
    <pivotField showAll="0"/>
    <pivotField numFmtId="165" showAll="0"/>
    <pivotField numFmtId="3" showAll="0"/>
    <pivotField showAll="0"/>
    <pivotField showAll="0"/>
    <pivotField numFmtId="3" showAll="0"/>
    <pivotField numFmtId="3" showAll="0"/>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v="1"/>
    </i>
    <i>
      <x v="5"/>
    </i>
    <i>
      <x v="4"/>
    </i>
    <i>
      <x v="6"/>
    </i>
    <i>
      <x/>
    </i>
    <i>
      <x v="3"/>
    </i>
    <i>
      <x v="7"/>
    </i>
    <i>
      <x v="2"/>
    </i>
    <i t="grand">
      <x/>
    </i>
  </rowItems>
  <colFields count="1">
    <field x="-2"/>
  </colFields>
  <colItems count="2">
    <i>
      <x/>
    </i>
    <i i="1">
      <x v="1"/>
    </i>
  </colItems>
  <dataFields count="2">
    <dataField name="Sum of LoanAmount" fld="9" baseField="0" baseItem="0"/>
    <dataField name="Sum of InterestIncomeEarned" fld="19" baseField="0" baseItem="0"/>
  </dataFields>
  <formats count="4">
    <format dxfId="12">
      <pivotArea collapsedLevelsAreSubtotals="1" fieldPosition="0">
        <references count="2">
          <reference field="4294967294" count="1" selected="0">
            <x v="0"/>
          </reference>
          <reference field="1" count="1">
            <x v="1"/>
          </reference>
        </references>
      </pivotArea>
    </format>
    <format dxfId="11">
      <pivotArea collapsedLevelsAreSubtotals="1" fieldPosition="0">
        <references count="2">
          <reference field="4294967294" count="1" selected="0">
            <x v="1"/>
          </reference>
          <reference field="1" count="1">
            <x v="4"/>
          </reference>
        </references>
      </pivotArea>
    </format>
    <format dxfId="10">
      <pivotArea collapsedLevelsAreSubtotals="1" fieldPosition="0">
        <references count="2">
          <reference field="4294967294" count="1" selected="0">
            <x v="1"/>
          </reference>
          <reference field="1" count="1">
            <x v="1"/>
          </reference>
        </references>
      </pivotArea>
    </format>
    <format dxfId="9">
      <pivotArea field="1" grandRow="1" outline="0" collapsedLevelsAreSubtotals="1" axis="axisRow" fieldPosition="0">
        <references count="1">
          <reference field="4294967294" count="1" selected="0">
            <x v="1"/>
          </reference>
        </references>
      </pivotArea>
    </format>
  </formats>
  <chartFormats count="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13FBA3-3909-4B11-9BDC-80DBB9E66C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D21" firstHeaderRow="0" firstDataRow="1" firstDataCol="1"/>
  <pivotFields count="26">
    <pivotField showAll="0"/>
    <pivotField showAll="0"/>
    <pivotField axis="axisRow"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dataField="1" numFmtId="3" showAll="0"/>
    <pivotField showAll="0"/>
    <pivotField numFmtId="165" showAll="0"/>
    <pivotField numFmtId="3" showAll="0"/>
    <pivotField showAll="0"/>
    <pivotField showAll="0"/>
    <pivotField numFmtId="3" showAll="0"/>
    <pivotField dataField="1" numFmtId="3" showAll="0"/>
    <pivotField showAll="0"/>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2"/>
  </rowFields>
  <rowItems count="5">
    <i>
      <x/>
    </i>
    <i>
      <x v="1"/>
    </i>
    <i>
      <x v="2"/>
    </i>
    <i>
      <x v="3"/>
    </i>
    <i t="grand">
      <x/>
    </i>
  </rowItems>
  <colFields count="1">
    <field x="-2"/>
  </colFields>
  <colItems count="3">
    <i>
      <x/>
    </i>
    <i i="1">
      <x v="1"/>
    </i>
    <i i="2">
      <x v="2"/>
    </i>
  </colItems>
  <dataFields count="3">
    <dataField name="Sum of LoanAmount" fld="9" baseField="0" baseItem="0"/>
    <dataField name="Sum of OutstandingPrincipal" fld="16" baseField="0" baseItem="0"/>
    <dataField name="Sum of outst%" fld="24" baseField="0" baseItem="0" numFmtId="9"/>
  </dataFields>
  <formats count="2">
    <format dxfId="14">
      <pivotArea outline="0" collapsedLevelsAreSubtotals="1" fieldPosition="0">
        <references count="1">
          <reference field="4294967294" count="1" selected="0">
            <x v="2"/>
          </reference>
        </references>
      </pivotArea>
    </format>
    <format dxfId="13">
      <pivotArea collapsedLevelsAreSubtotals="1" fieldPosition="0">
        <references count="2">
          <reference field="4294967294" count="1" selected="0">
            <x v="1"/>
          </reference>
          <reference field="2" count="0"/>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9254AD4-886F-41D3-9294-B31ED4FEBB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0" firstHeaderRow="0" firstDataRow="1" firstDataCol="1"/>
  <pivotFields count="26">
    <pivotField showAll="0"/>
    <pivotField showAll="0"/>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axis="axisRow"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dataField="1" numFmtId="3" showAll="0"/>
    <pivotField showAll="0"/>
    <pivotField numFmtId="165" showAll="0"/>
    <pivotField numFmtId="3" showAll="0"/>
    <pivotField showAll="0"/>
    <pivotField showAll="0"/>
    <pivotField dataField="1" numFmtId="3" showAll="0"/>
    <pivotField numFmtId="3" showAll="0"/>
    <pivotField showAll="0"/>
    <pivotField showAll="0"/>
    <pivotField numFmtId="3"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21"/>
    <field x="20"/>
    <field x="8"/>
  </rowFields>
  <rowItems count="7">
    <i>
      <x v="1"/>
    </i>
    <i>
      <x v="2"/>
    </i>
    <i>
      <x v="3"/>
    </i>
    <i>
      <x v="4"/>
    </i>
    <i>
      <x v="5"/>
    </i>
    <i>
      <x v="6"/>
    </i>
    <i t="grand">
      <x/>
    </i>
  </rowItems>
  <colFields count="1">
    <field x="-2"/>
  </colFields>
  <colItems count="2">
    <i>
      <x/>
    </i>
    <i i="1">
      <x v="1"/>
    </i>
  </colItems>
  <dataFields count="2">
    <dataField name="Sum of AmountCollectedTillDate" fld="15" baseField="0" baseItem="0"/>
    <dataField name="Sum of LoanAmount" fld="9" baseField="0" baseItem="0"/>
  </dataFields>
  <formats count="4">
    <format dxfId="18">
      <pivotArea collapsedLevelsAreSubtotals="1" fieldPosition="0">
        <references count="2">
          <reference field="4294967294" count="1" selected="0">
            <x v="1"/>
          </reference>
          <reference field="21" count="1">
            <x v="6"/>
          </reference>
        </references>
      </pivotArea>
    </format>
    <format dxfId="17">
      <pivotArea collapsedLevelsAreSubtotals="1" fieldPosition="0">
        <references count="2">
          <reference field="4294967294" count="1" selected="0">
            <x v="1"/>
          </reference>
          <reference field="21" count="1">
            <x v="3"/>
          </reference>
        </references>
      </pivotArea>
    </format>
    <format dxfId="16">
      <pivotArea collapsedLevelsAreSubtotals="1" fieldPosition="0">
        <references count="2">
          <reference field="4294967294" count="1" selected="0">
            <x v="1"/>
          </reference>
          <reference field="21" count="1">
            <x v="2"/>
          </reference>
        </references>
      </pivotArea>
    </format>
    <format dxfId="15">
      <pivotArea collapsedLevelsAreSubtotals="1" fieldPosition="0">
        <references count="2">
          <reference field="4294967294" count="1" selected="0">
            <x v="1"/>
          </reference>
          <reference field="21" count="1">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326DA1-9966-4F04-B5BB-F402A7CB10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0:E75" firstHeaderRow="1" firstDataRow="2" firstDataCol="1"/>
  <pivotFields count="26">
    <pivotField dataField="1" showAll="0"/>
    <pivotField showAll="0"/>
    <pivotField showAll="0">
      <items count="5">
        <item x="3"/>
        <item x="1"/>
        <item x="0"/>
        <item x="2"/>
        <item t="default"/>
      </items>
    </pivotField>
    <pivotField showAll="0">
      <items count="6">
        <item x="4"/>
        <item x="1"/>
        <item x="3"/>
        <item x="2"/>
        <item x="0"/>
        <item t="default"/>
      </items>
    </pivotField>
    <pivotField showAll="0"/>
    <pivotField axis="axisRow" showAll="0">
      <items count="4">
        <item x="2"/>
        <item x="1"/>
        <item x="0"/>
        <item t="default"/>
      </items>
    </pivotField>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4">
    <i>
      <x/>
    </i>
    <i>
      <x v="1"/>
    </i>
    <i>
      <x v="2"/>
    </i>
    <i t="grand">
      <x/>
    </i>
  </rowItems>
  <colFields count="1">
    <field x="18"/>
  </colFields>
  <colItems count="4">
    <i>
      <x/>
    </i>
    <i>
      <x v="1"/>
    </i>
    <i>
      <x v="2"/>
    </i>
    <i t="grand">
      <x/>
    </i>
  </colItems>
  <dataFields count="1">
    <dataField name="Count of LoanID" fld="0" subtotal="count" showDataAs="percentOfRow" baseField="0" baseItem="0" numFmtId="10"/>
  </dataFields>
  <chartFormats count="6">
    <chartFormat chart="6" format="0" series="1">
      <pivotArea type="data" outline="0" fieldPosition="0">
        <references count="2">
          <reference field="4294967294" count="1" selected="0">
            <x v="0"/>
          </reference>
          <reference field="18" count="1" selected="0">
            <x v="0"/>
          </reference>
        </references>
      </pivotArea>
    </chartFormat>
    <chartFormat chart="6" format="1" series="1">
      <pivotArea type="data" outline="0" fieldPosition="0">
        <references count="2">
          <reference field="4294967294" count="1" selected="0">
            <x v="0"/>
          </reference>
          <reference field="18" count="1" selected="0">
            <x v="1"/>
          </reference>
        </references>
      </pivotArea>
    </chartFormat>
    <chartFormat chart="6" format="2" series="1">
      <pivotArea type="data" outline="0" fieldPosition="0">
        <references count="2">
          <reference field="4294967294" count="1" selected="0">
            <x v="0"/>
          </reference>
          <reference field="18" count="1" selected="0">
            <x v="2"/>
          </reference>
        </references>
      </pivotArea>
    </chartFormat>
    <chartFormat chart="7" format="0" series="1">
      <pivotArea type="data" outline="0" fieldPosition="0">
        <references count="2">
          <reference field="4294967294" count="1" selected="0">
            <x v="0"/>
          </reference>
          <reference field="18" count="1" selected="0">
            <x v="0"/>
          </reference>
        </references>
      </pivotArea>
    </chartFormat>
    <chartFormat chart="7" format="1" series="1">
      <pivotArea type="data" outline="0" fieldPosition="0">
        <references count="2">
          <reference field="4294967294" count="1" selected="0">
            <x v="0"/>
          </reference>
          <reference field="18" count="1" selected="0">
            <x v="1"/>
          </reference>
        </references>
      </pivotArea>
    </chartFormat>
    <chartFormat chart="7" format="2"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F019CFB-5A18-4345-B48E-56AAFE2554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1:E47" firstHeaderRow="1" firstDataRow="2" firstDataCol="1"/>
  <pivotFields count="26">
    <pivotField dataField="1" showAll="0"/>
    <pivotField showAll="0"/>
    <pivotField axis="axisRow"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18"/>
  </colFields>
  <colItems count="4">
    <i>
      <x/>
    </i>
    <i>
      <x v="1"/>
    </i>
    <i>
      <x v="2"/>
    </i>
    <i t="grand">
      <x/>
    </i>
  </colItems>
  <dataFields count="1">
    <dataField name="Count of LoanID" fld="0" subtotal="count" showDataAs="percentOfRow" baseField="0" baseItem="0" numFmtId="10"/>
  </dataFields>
  <chartFormats count="3">
    <chartFormat chart="6" format="0" series="1">
      <pivotArea type="data" outline="0" fieldPosition="0">
        <references count="2">
          <reference field="4294967294" count="1" selected="0">
            <x v="0"/>
          </reference>
          <reference field="18" count="1" selected="0">
            <x v="0"/>
          </reference>
        </references>
      </pivotArea>
    </chartFormat>
    <chartFormat chart="6" format="1" series="1">
      <pivotArea type="data" outline="0" fieldPosition="0">
        <references count="2">
          <reference field="4294967294" count="1" selected="0">
            <x v="0"/>
          </reference>
          <reference field="18" count="1" selected="0">
            <x v="1"/>
          </reference>
        </references>
      </pivotArea>
    </chartFormat>
    <chartFormat chart="6" format="2"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30E6185-F372-4F0E-9369-5ECCA6C5162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5:B104" firstHeaderRow="1" firstDataRow="1" firstDataCol="1"/>
  <pivotFields count="26">
    <pivotField showAll="0"/>
    <pivotField axis="axisRow" showAll="0" sortType="descending">
      <items count="9">
        <item x="0"/>
        <item x="7"/>
        <item x="5"/>
        <item x="1"/>
        <item x="4"/>
        <item x="6"/>
        <item x="3"/>
        <item x="2"/>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v="4"/>
    </i>
    <i>
      <x v="1"/>
    </i>
    <i>
      <x v="6"/>
    </i>
    <i>
      <x/>
    </i>
    <i>
      <x v="3"/>
    </i>
    <i>
      <x v="5"/>
    </i>
    <i>
      <x v="7"/>
    </i>
    <i>
      <x v="2"/>
    </i>
    <i t="grand">
      <x/>
    </i>
  </rowItems>
  <colItems count="1">
    <i/>
  </colItems>
  <dataFields count="1">
    <dataField name="Sum of InterestIncomeEarned" fld="19" showDataAs="percentOfCol" baseField="0" baseItem="0" numFmtId="10"/>
  </dataFields>
  <formats count="2">
    <format dxfId="20">
      <pivotArea dataOnly="0" fieldPosition="0">
        <references count="1">
          <reference field="1" count="1">
            <x v="4"/>
          </reference>
        </references>
      </pivotArea>
    </format>
    <format dxfId="19">
      <pivotArea outline="0" fieldPosition="0">
        <references count="1">
          <reference field="4294967294" count="1">
            <x v="0"/>
          </reference>
        </references>
      </pivotArea>
    </format>
  </formats>
  <chartFormats count="9">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4"/>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0" format="3">
      <pivotArea type="data" outline="0" fieldPosition="0">
        <references count="2">
          <reference field="4294967294" count="1" selected="0">
            <x v="0"/>
          </reference>
          <reference field="1" count="1" selected="0">
            <x v="6"/>
          </reference>
        </references>
      </pivotArea>
    </chartFormat>
    <chartFormat chart="10" format="4">
      <pivotArea type="data" outline="0" fieldPosition="0">
        <references count="2">
          <reference field="4294967294" count="1" selected="0">
            <x v="0"/>
          </reference>
          <reference field="1" count="1" selected="0">
            <x v="0"/>
          </reference>
        </references>
      </pivotArea>
    </chartFormat>
    <chartFormat chart="10" format="5">
      <pivotArea type="data" outline="0" fieldPosition="0">
        <references count="2">
          <reference field="4294967294" count="1" selected="0">
            <x v="0"/>
          </reference>
          <reference field="1" count="1" selected="0">
            <x v="3"/>
          </reference>
        </references>
      </pivotArea>
    </chartFormat>
    <chartFormat chart="10" format="6">
      <pivotArea type="data" outline="0" fieldPosition="0">
        <references count="2">
          <reference field="4294967294" count="1" selected="0">
            <x v="0"/>
          </reference>
          <reference field="1" count="1" selected="0">
            <x v="5"/>
          </reference>
        </references>
      </pivotArea>
    </chartFormat>
    <chartFormat chart="10" format="7">
      <pivotArea type="data" outline="0" fieldPosition="0">
        <references count="2">
          <reference field="4294967294" count="1" selected="0">
            <x v="0"/>
          </reference>
          <reference field="1" count="1" selected="0">
            <x v="7"/>
          </reference>
        </references>
      </pivotArea>
    </chartFormat>
    <chartFormat chart="10"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32D4C3-6054-421D-A6B9-99065BB456C9}" sourceName="Region">
  <pivotTables>
    <pivotTable tabId="6" name="PivotTable3"/>
    <pivotTable tabId="6" name="PivotTable1"/>
    <pivotTable tabId="6" name="PivotTable10"/>
    <pivotTable tabId="6" name="PivotTable11"/>
    <pivotTable tabId="6" name="PivotTable12"/>
    <pivotTable tabId="6" name="PivotTable13"/>
    <pivotTable tabId="6" name="PivotTable2"/>
    <pivotTable tabId="6" name="PivotTable28"/>
    <pivotTable tabId="6" name="PivotTable4"/>
    <pivotTable tabId="6" name="PivotTable5"/>
    <pivotTable tabId="6" name="PivotTable6"/>
    <pivotTable tabId="6" name="PivotTable8"/>
    <pivotTable tabId="6" name="PivotTable9"/>
    <pivotTable tabId="6" name="PivotTable29"/>
    <pivotTable tabId="6" name="PivotTable30"/>
    <pivotTable tabId="6" name="PivotTable16"/>
  </pivotTables>
  <data>
    <tabular pivotCacheId="197924503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Product" xr10:uid="{3EFCC095-4D52-477F-B04A-DFA4A056679B}" sourceName="LoanProduct">
  <pivotTables>
    <pivotTable tabId="6" name="PivotTable3"/>
    <pivotTable tabId="6" name="PivotTable1"/>
    <pivotTable tabId="6" name="PivotTable10"/>
    <pivotTable tabId="6" name="PivotTable11"/>
    <pivotTable tabId="6" name="PivotTable12"/>
    <pivotTable tabId="6" name="PivotTable13"/>
    <pivotTable tabId="6" name="PivotTable2"/>
    <pivotTable tabId="6" name="PivotTable28"/>
    <pivotTable tabId="6" name="PivotTable4"/>
    <pivotTable tabId="6" name="PivotTable5"/>
    <pivotTable tabId="6" name="PivotTable6"/>
    <pivotTable tabId="6" name="PivotTable8"/>
    <pivotTable tabId="6" name="PivotTable9"/>
    <pivotTable tabId="6" name="PivotTable29"/>
    <pivotTable tabId="6" name="PivotTable30"/>
    <pivotTable tabId="6" name="PivotTable16"/>
  </pivotTables>
  <data>
    <tabular pivotCacheId="1979245033">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isbursementDate" xr10:uid="{3A5B4D1B-5195-45EE-ABC4-C9CA7956C11C}" sourceName="Months (DisbursementDate)">
  <pivotTables>
    <pivotTable tabId="6" name="PivotTable12"/>
    <pivotTable tabId="6" name="PivotTable1"/>
    <pivotTable tabId="6" name="PivotTable10"/>
    <pivotTable tabId="6" name="PivotTable11"/>
    <pivotTable tabId="6" name="PivotTable13"/>
    <pivotTable tabId="6" name="PivotTable16"/>
    <pivotTable tabId="6" name="PivotTable2"/>
    <pivotTable tabId="6" name="PivotTable28"/>
    <pivotTable tabId="6" name="PivotTable29"/>
    <pivotTable tabId="6" name="PivotTable3"/>
    <pivotTable tabId="6" name="PivotTable30"/>
    <pivotTable tabId="6" name="PivotTable4"/>
    <pivotTable tabId="6" name="PivotTable5"/>
    <pivotTable tabId="6" name="PivotTable6"/>
    <pivotTable tabId="6" name="PivotTable8"/>
    <pivotTable tabId="6" name="PivotTable9"/>
  </pivotTables>
  <data>
    <tabular pivotCacheId="1979245033">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D24EC49-330A-409D-B214-E818C72A5E1A}" cache="Slicer_Region" caption="Region" style="SlicerStyleLight6 2" rowHeight="234950"/>
  <slicer name="LoanProduct" xr10:uid="{14F48752-35D1-4639-8C03-41B47428ADA5}" cache="Slicer_LoanProduct" caption="LoanProduct" style="SlicerStyleLight6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4BD5396-124B-4576-8656-562F0AF58988}" cache="Slicer_Region" caption="Region" style="SlicerStyleDark2" rowHeight="234950"/>
  <slicer name="LoanProduct 1" xr10:uid="{B6F81743-EADA-41FE-989E-089E209F82C3}" cache="Slicer_LoanProduct" caption="LoanProduct" startItem="1" style="SlicerStyleDark2" rowHeight="234950"/>
  <slicer name="Months (DisbursementDate)" xr10:uid="{AADD4B6E-E91F-45E2-B058-C183C74AC4B8}" cache="Slicer_Months__DisbursementDate" caption="Months (DisbursementDate)" style="SlicerStyleDark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CCB74F2-978C-4A7C-BDBA-F1F4C1D409D7}">
  <we:reference id="wa200010215" version="2.0.0.1" store="en-US" storeType="OMEX"/>
  <we:alternateReferences>
    <we:reference id="wa200010215" version="2.0.0.1" store="" storeType="OMEX"/>
  </we:alternateReferences>
  <we:properties>
    <we:property name="bps.codex_control.document_id" value="&quot;3394dde1-22e9-43bd-b274-7f30ae438f7c&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660CE-368F-4F4D-B54E-CE59C2B6DB14}">
  <dimension ref="A1:C31"/>
  <sheetViews>
    <sheetView topLeftCell="A8" workbookViewId="0">
      <selection activeCell="C13" sqref="C13"/>
    </sheetView>
  </sheetViews>
  <sheetFormatPr defaultRowHeight="13.2" x14ac:dyDescent="0.25"/>
  <cols>
    <col min="1" max="1" width="126.6640625" style="21" customWidth="1"/>
    <col min="2" max="2" width="20.21875" style="15" customWidth="1"/>
    <col min="3" max="16384" width="8.88671875" style="15"/>
  </cols>
  <sheetData>
    <row r="1" spans="1:3" ht="28.8" x14ac:dyDescent="0.55000000000000004">
      <c r="A1" s="22" t="s">
        <v>442</v>
      </c>
    </row>
    <row r="2" spans="1:3" x14ac:dyDescent="0.25">
      <c r="A2" s="16"/>
    </row>
    <row r="3" spans="1:3" x14ac:dyDescent="0.25">
      <c r="A3" s="17" t="s">
        <v>443</v>
      </c>
    </row>
    <row r="4" spans="1:3" ht="26.4" x14ac:dyDescent="0.25">
      <c r="A4" s="18" t="s">
        <v>444</v>
      </c>
    </row>
    <row r="5" spans="1:3" x14ac:dyDescent="0.25">
      <c r="A5" s="18"/>
    </row>
    <row r="6" spans="1:3" x14ac:dyDescent="0.25">
      <c r="A6" s="19" t="s">
        <v>445</v>
      </c>
    </row>
    <row r="7" spans="1:3" ht="26.4" x14ac:dyDescent="0.25">
      <c r="A7" s="18" t="s">
        <v>446</v>
      </c>
    </row>
    <row r="8" spans="1:3" x14ac:dyDescent="0.25">
      <c r="A8" s="18" t="s">
        <v>447</v>
      </c>
    </row>
    <row r="9" spans="1:3" x14ac:dyDescent="0.25">
      <c r="A9" s="18" t="s">
        <v>448</v>
      </c>
    </row>
    <row r="10" spans="1:3" x14ac:dyDescent="0.25">
      <c r="A10" s="18" t="s">
        <v>449</v>
      </c>
    </row>
    <row r="11" spans="1:3" ht="26.4" x14ac:dyDescent="0.25">
      <c r="A11" s="18" t="s">
        <v>500</v>
      </c>
      <c r="C11" s="15" t="s">
        <v>557</v>
      </c>
    </row>
    <row r="12" spans="1:3" x14ac:dyDescent="0.25">
      <c r="A12" s="18" t="s">
        <v>450</v>
      </c>
      <c r="C12" s="15" t="s">
        <v>55</v>
      </c>
    </row>
    <row r="13" spans="1:3" x14ac:dyDescent="0.25">
      <c r="A13" s="18"/>
      <c r="C13" s="15" t="s">
        <v>558</v>
      </c>
    </row>
    <row r="14" spans="1:3" x14ac:dyDescent="0.25">
      <c r="A14" s="19" t="s">
        <v>451</v>
      </c>
      <c r="C14" s="15" t="s">
        <v>559</v>
      </c>
    </row>
    <row r="15" spans="1:3" ht="26.4" x14ac:dyDescent="0.25">
      <c r="A15" s="18" t="s">
        <v>452</v>
      </c>
      <c r="C15" s="15" t="s">
        <v>560</v>
      </c>
    </row>
    <row r="16" spans="1:3" x14ac:dyDescent="0.25">
      <c r="A16" s="18"/>
    </row>
    <row r="17" spans="1:1" x14ac:dyDescent="0.25">
      <c r="A17" s="19" t="s">
        <v>453</v>
      </c>
    </row>
    <row r="18" spans="1:1" ht="26.4" x14ac:dyDescent="0.25">
      <c r="A18" s="18" t="s">
        <v>454</v>
      </c>
    </row>
    <row r="19" spans="1:1" x14ac:dyDescent="0.25">
      <c r="A19" s="18"/>
    </row>
    <row r="20" spans="1:1" x14ac:dyDescent="0.25">
      <c r="A20" s="19" t="s">
        <v>455</v>
      </c>
    </row>
    <row r="21" spans="1:1" ht="26.4" x14ac:dyDescent="0.25">
      <c r="A21" s="18" t="s">
        <v>456</v>
      </c>
    </row>
    <row r="22" spans="1:1" x14ac:dyDescent="0.25">
      <c r="A22" s="18" t="s">
        <v>457</v>
      </c>
    </row>
    <row r="23" spans="1:1" ht="26.4" x14ac:dyDescent="0.25">
      <c r="A23" s="18" t="s">
        <v>458</v>
      </c>
    </row>
    <row r="24" spans="1:1" x14ac:dyDescent="0.25">
      <c r="A24" s="18"/>
    </row>
    <row r="25" spans="1:1" x14ac:dyDescent="0.25">
      <c r="A25" s="19" t="s">
        <v>459</v>
      </c>
    </row>
    <row r="26" spans="1:1" x14ac:dyDescent="0.25">
      <c r="A26" s="18" t="s">
        <v>460</v>
      </c>
    </row>
    <row r="27" spans="1:1" x14ac:dyDescent="0.25">
      <c r="A27" s="18" t="s">
        <v>461</v>
      </c>
    </row>
    <row r="28" spans="1:1" x14ac:dyDescent="0.25">
      <c r="A28" s="18" t="s">
        <v>462</v>
      </c>
    </row>
    <row r="29" spans="1:1" x14ac:dyDescent="0.25">
      <c r="A29" s="18" t="s">
        <v>463</v>
      </c>
    </row>
    <row r="30" spans="1:1" x14ac:dyDescent="0.25">
      <c r="A30" s="18" t="s">
        <v>464</v>
      </c>
    </row>
    <row r="31" spans="1:1" x14ac:dyDescent="0.25">
      <c r="A31"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48CC-C362-4808-B7C6-2C3AC8AAB65E}">
  <dimension ref="A1:C20"/>
  <sheetViews>
    <sheetView workbookViewId="0">
      <selection activeCell="E9" sqref="E9"/>
    </sheetView>
  </sheetViews>
  <sheetFormatPr defaultRowHeight="14.4" x14ac:dyDescent="0.3"/>
  <cols>
    <col min="1" max="1" width="23.88671875" customWidth="1"/>
    <col min="2" max="2" width="40.6640625" customWidth="1"/>
    <col min="3" max="3" width="15.33203125" customWidth="1"/>
  </cols>
  <sheetData>
    <row r="1" spans="1:3" x14ac:dyDescent="0.3">
      <c r="A1" s="1" t="s">
        <v>465</v>
      </c>
      <c r="B1" s="1" t="s">
        <v>466</v>
      </c>
      <c r="C1" s="1" t="s">
        <v>467</v>
      </c>
    </row>
    <row r="2" spans="1:3" x14ac:dyDescent="0.3">
      <c r="A2" s="11" t="s">
        <v>0</v>
      </c>
      <c r="B2" s="12" t="s">
        <v>468</v>
      </c>
      <c r="C2" s="2" t="s">
        <v>62</v>
      </c>
    </row>
    <row r="3" spans="1:3" x14ac:dyDescent="0.3">
      <c r="A3" s="13" t="s">
        <v>1</v>
      </c>
      <c r="B3" s="14" t="s">
        <v>469</v>
      </c>
      <c r="C3" s="6" t="s">
        <v>60</v>
      </c>
    </row>
    <row r="4" spans="1:3" ht="26.4" x14ac:dyDescent="0.3">
      <c r="A4" s="11" t="s">
        <v>2</v>
      </c>
      <c r="B4" s="12" t="s">
        <v>470</v>
      </c>
      <c r="C4" s="2" t="s">
        <v>21</v>
      </c>
    </row>
    <row r="5" spans="1:3" x14ac:dyDescent="0.3">
      <c r="A5" s="13" t="s">
        <v>3</v>
      </c>
      <c r="B5" s="14" t="s">
        <v>471</v>
      </c>
      <c r="C5" s="6" t="s">
        <v>35</v>
      </c>
    </row>
    <row r="6" spans="1:3" x14ac:dyDescent="0.3">
      <c r="A6" s="11" t="s">
        <v>4</v>
      </c>
      <c r="B6" s="12" t="s">
        <v>472</v>
      </c>
      <c r="C6" s="2" t="s">
        <v>473</v>
      </c>
    </row>
    <row r="7" spans="1:3" ht="26.4" x14ac:dyDescent="0.3">
      <c r="A7" s="13" t="s">
        <v>5</v>
      </c>
      <c r="B7" s="14" t="s">
        <v>474</v>
      </c>
      <c r="C7" s="6" t="s">
        <v>24</v>
      </c>
    </row>
    <row r="8" spans="1:3" x14ac:dyDescent="0.3">
      <c r="A8" s="11" t="s">
        <v>6</v>
      </c>
      <c r="B8" s="12" t="s">
        <v>475</v>
      </c>
      <c r="C8" s="2" t="s">
        <v>476</v>
      </c>
    </row>
    <row r="9" spans="1:3" ht="26.4" x14ac:dyDescent="0.3">
      <c r="A9" s="13" t="s">
        <v>7</v>
      </c>
      <c r="B9" s="14" t="s">
        <v>477</v>
      </c>
      <c r="C9" s="6" t="s">
        <v>478</v>
      </c>
    </row>
    <row r="10" spans="1:3" ht="26.4" x14ac:dyDescent="0.3">
      <c r="A10" s="11" t="s">
        <v>8</v>
      </c>
      <c r="B10" s="12" t="s">
        <v>479</v>
      </c>
      <c r="C10" s="2" t="s">
        <v>480</v>
      </c>
    </row>
    <row r="11" spans="1:3" ht="26.4" x14ac:dyDescent="0.3">
      <c r="A11" s="13" t="s">
        <v>9</v>
      </c>
      <c r="B11" s="14" t="s">
        <v>481</v>
      </c>
      <c r="C11" s="6" t="s">
        <v>482</v>
      </c>
    </row>
    <row r="12" spans="1:3" x14ac:dyDescent="0.3">
      <c r="A12" s="11" t="s">
        <v>10</v>
      </c>
      <c r="B12" s="12" t="s">
        <v>483</v>
      </c>
      <c r="C12" s="2" t="s">
        <v>484</v>
      </c>
    </row>
    <row r="13" spans="1:3" ht="52.8" x14ac:dyDescent="0.3">
      <c r="A13" s="13" t="s">
        <v>11</v>
      </c>
      <c r="B13" s="14" t="s">
        <v>485</v>
      </c>
      <c r="C13" s="6" t="s">
        <v>486</v>
      </c>
    </row>
    <row r="14" spans="1:3" ht="39.6" x14ac:dyDescent="0.3">
      <c r="A14" s="11" t="s">
        <v>12</v>
      </c>
      <c r="B14" s="12" t="s">
        <v>487</v>
      </c>
      <c r="C14" s="2" t="s">
        <v>488</v>
      </c>
    </row>
    <row r="15" spans="1:3" ht="26.4" x14ac:dyDescent="0.3">
      <c r="A15" s="13" t="s">
        <v>13</v>
      </c>
      <c r="B15" s="14" t="s">
        <v>489</v>
      </c>
      <c r="C15" s="6" t="s">
        <v>490</v>
      </c>
    </row>
    <row r="16" spans="1:3" ht="39.6" x14ac:dyDescent="0.3">
      <c r="A16" s="11" t="s">
        <v>14</v>
      </c>
      <c r="B16" s="12" t="s">
        <v>491</v>
      </c>
      <c r="C16" s="2" t="s">
        <v>492</v>
      </c>
    </row>
    <row r="17" spans="1:3" ht="52.8" x14ac:dyDescent="0.3">
      <c r="A17" s="13" t="s">
        <v>15</v>
      </c>
      <c r="B17" s="14" t="s">
        <v>493</v>
      </c>
      <c r="C17" s="6" t="s">
        <v>494</v>
      </c>
    </row>
    <row r="18" spans="1:3" ht="39.6" x14ac:dyDescent="0.3">
      <c r="A18" s="11" t="s">
        <v>16</v>
      </c>
      <c r="B18" s="12" t="s">
        <v>495</v>
      </c>
      <c r="C18" s="2" t="s">
        <v>496</v>
      </c>
    </row>
    <row r="19" spans="1:3" ht="26.4" x14ac:dyDescent="0.3">
      <c r="A19" s="13" t="s">
        <v>17</v>
      </c>
      <c r="B19" s="14" t="s">
        <v>497</v>
      </c>
      <c r="C19" s="6" t="s">
        <v>47</v>
      </c>
    </row>
    <row r="20" spans="1:3" ht="39.6" x14ac:dyDescent="0.3">
      <c r="A20" s="11" t="s">
        <v>18</v>
      </c>
      <c r="B20" s="12" t="s">
        <v>498</v>
      </c>
      <c r="C20" s="2" t="s">
        <v>499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98EA3-2415-4C21-8E19-0F6B5D6B889F}">
  <dimension ref="A2:J197"/>
  <sheetViews>
    <sheetView tabSelected="1" zoomScale="96" zoomScaleNormal="55" workbookViewId="0">
      <selection activeCell="J4" sqref="J4"/>
    </sheetView>
  </sheetViews>
  <sheetFormatPr defaultRowHeight="14.4" x14ac:dyDescent="0.3"/>
  <cols>
    <col min="1" max="1" width="13.109375" bestFit="1" customWidth="1"/>
    <col min="2" max="2" width="30" bestFit="1" customWidth="1"/>
    <col min="3" max="3" width="19.44140625" bestFit="1" customWidth="1"/>
    <col min="4" max="4" width="8.5546875" bestFit="1" customWidth="1"/>
    <col min="5" max="5" width="11.21875" bestFit="1" customWidth="1"/>
    <col min="6" max="6" width="10.44140625" bestFit="1" customWidth="1"/>
    <col min="7" max="7" width="11" bestFit="1" customWidth="1"/>
    <col min="8" max="8" width="4.109375" bestFit="1" customWidth="1"/>
    <col min="9" max="9" width="7.33203125" bestFit="1" customWidth="1"/>
    <col min="10" max="10" width="12" bestFit="1" customWidth="1"/>
    <col min="11" max="77" width="5.77734375" bestFit="1" customWidth="1"/>
    <col min="78" max="180" width="6.77734375" bestFit="1" customWidth="1"/>
    <col min="181" max="183" width="8.44140625" bestFit="1" customWidth="1"/>
    <col min="184" max="184" width="11.21875" bestFit="1" customWidth="1"/>
  </cols>
  <sheetData>
    <row r="2" spans="1:10" x14ac:dyDescent="0.3">
      <c r="A2" s="28" t="s">
        <v>533</v>
      </c>
      <c r="B2" s="28"/>
      <c r="C2" s="28"/>
      <c r="D2" s="28"/>
    </row>
    <row r="3" spans="1:10" x14ac:dyDescent="0.3">
      <c r="A3" s="26" t="s">
        <v>527</v>
      </c>
      <c r="B3" t="s">
        <v>530</v>
      </c>
      <c r="C3" t="s">
        <v>531</v>
      </c>
    </row>
    <row r="4" spans="1:10" x14ac:dyDescent="0.3">
      <c r="A4" s="27" t="s">
        <v>568</v>
      </c>
      <c r="B4" s="51">
        <v>4387565</v>
      </c>
      <c r="C4" s="51">
        <v>20734000</v>
      </c>
      <c r="J4" s="51">
        <f>GETPIVOTDATA("Sum of LoanAmount",$A$3)</f>
        <v>109375000</v>
      </c>
    </row>
    <row r="5" spans="1:10" x14ac:dyDescent="0.3">
      <c r="A5" s="27" t="s">
        <v>569</v>
      </c>
      <c r="B5" s="51">
        <v>3784489</v>
      </c>
      <c r="C5" s="51">
        <v>21663000</v>
      </c>
      <c r="F5">
        <f>GETPIVOTDATA("Sum of AmountCollectedTillDate",$A$3)</f>
        <v>13702226</v>
      </c>
    </row>
    <row r="6" spans="1:10" x14ac:dyDescent="0.3">
      <c r="A6" s="27" t="s">
        <v>529</v>
      </c>
      <c r="B6" s="51">
        <v>2519338</v>
      </c>
      <c r="C6" s="51">
        <v>21818000</v>
      </c>
    </row>
    <row r="7" spans="1:10" x14ac:dyDescent="0.3">
      <c r="A7" s="27" t="s">
        <v>570</v>
      </c>
      <c r="B7" s="51">
        <v>1670725</v>
      </c>
      <c r="C7" s="51">
        <v>20642000</v>
      </c>
    </row>
    <row r="8" spans="1:10" x14ac:dyDescent="0.3">
      <c r="A8" s="27" t="s">
        <v>571</v>
      </c>
      <c r="B8" s="51">
        <v>906181</v>
      </c>
      <c r="C8" s="51">
        <v>13097000</v>
      </c>
    </row>
    <row r="9" spans="1:10" x14ac:dyDescent="0.3">
      <c r="A9" s="27" t="s">
        <v>572</v>
      </c>
      <c r="B9" s="51">
        <v>433928</v>
      </c>
      <c r="C9" s="51">
        <v>11421000</v>
      </c>
      <c r="F9">
        <f>GETPIVOTDATA("Sum of LoanAmount",$A$3)</f>
        <v>109375000</v>
      </c>
      <c r="G9">
        <f>GETPIVOTDATA("Sum of AmountCollectedTillDate",$A$3)</f>
        <v>13702226</v>
      </c>
    </row>
    <row r="10" spans="1:10" x14ac:dyDescent="0.3">
      <c r="A10" s="27" t="s">
        <v>528</v>
      </c>
      <c r="B10" s="51">
        <v>13702226</v>
      </c>
      <c r="C10" s="51">
        <v>109375000</v>
      </c>
    </row>
    <row r="12" spans="1:10" x14ac:dyDescent="0.3">
      <c r="A12" s="29" t="s">
        <v>534</v>
      </c>
      <c r="B12" s="28"/>
    </row>
    <row r="16" spans="1:10" x14ac:dyDescent="0.3">
      <c r="A16" s="26" t="s">
        <v>527</v>
      </c>
      <c r="B16" t="s">
        <v>531</v>
      </c>
      <c r="C16" t="s">
        <v>535</v>
      </c>
      <c r="D16" t="s">
        <v>536</v>
      </c>
    </row>
    <row r="17" spans="1:9" x14ac:dyDescent="0.3">
      <c r="A17" s="27" t="s">
        <v>53</v>
      </c>
      <c r="B17" s="51">
        <v>30653000</v>
      </c>
      <c r="C17" s="51">
        <v>27528221</v>
      </c>
      <c r="D17" s="30">
        <v>0.89805960264900664</v>
      </c>
      <c r="F17">
        <f>GETPIVOTDATA("Sum of OutstandingPrincipal",$A$16)</f>
        <v>99301530</v>
      </c>
    </row>
    <row r="18" spans="1:9" x14ac:dyDescent="0.3">
      <c r="A18" s="27" t="s">
        <v>28</v>
      </c>
      <c r="B18" s="51">
        <v>27423000</v>
      </c>
      <c r="C18" s="51">
        <v>25337311</v>
      </c>
      <c r="D18" s="30">
        <v>0.92394380629398676</v>
      </c>
    </row>
    <row r="19" spans="1:9" x14ac:dyDescent="0.3">
      <c r="A19" s="27" t="s">
        <v>21</v>
      </c>
      <c r="B19" s="51">
        <v>24891000</v>
      </c>
      <c r="C19" s="51">
        <v>22790390</v>
      </c>
      <c r="D19" s="30">
        <v>0.91560764935117112</v>
      </c>
    </row>
    <row r="20" spans="1:9" x14ac:dyDescent="0.3">
      <c r="A20" s="27" t="s">
        <v>34</v>
      </c>
      <c r="B20" s="51">
        <v>26408000</v>
      </c>
      <c r="C20" s="51">
        <v>23645608</v>
      </c>
      <c r="D20" s="30">
        <v>0.89539563768554986</v>
      </c>
    </row>
    <row r="21" spans="1:9" x14ac:dyDescent="0.3">
      <c r="A21" s="27" t="s">
        <v>528</v>
      </c>
      <c r="B21" s="51">
        <v>109375000</v>
      </c>
      <c r="C21" s="51">
        <v>99301530</v>
      </c>
      <c r="D21" s="30">
        <v>0.90789970285714283</v>
      </c>
    </row>
    <row r="24" spans="1:9" x14ac:dyDescent="0.3">
      <c r="A24" s="28" t="s">
        <v>537</v>
      </c>
      <c r="B24" s="28"/>
    </row>
    <row r="25" spans="1:9" x14ac:dyDescent="0.3">
      <c r="A25" s="26" t="s">
        <v>538</v>
      </c>
      <c r="B25" s="26" t="s">
        <v>532</v>
      </c>
    </row>
    <row r="26" spans="1:9" x14ac:dyDescent="0.3">
      <c r="A26" s="26" t="s">
        <v>527</v>
      </c>
      <c r="B26" t="s">
        <v>25</v>
      </c>
      <c r="C26" t="s">
        <v>55</v>
      </c>
      <c r="D26" t="s">
        <v>47</v>
      </c>
      <c r="E26" t="s">
        <v>528</v>
      </c>
    </row>
    <row r="27" spans="1:9" x14ac:dyDescent="0.3">
      <c r="A27" s="27" t="s">
        <v>20</v>
      </c>
      <c r="B27" s="31">
        <v>0.66666666666666663</v>
      </c>
      <c r="C27" s="31">
        <v>9.5238095238095233E-2</v>
      </c>
      <c r="D27" s="31">
        <v>0.23809523809523808</v>
      </c>
      <c r="E27" s="31">
        <v>1</v>
      </c>
      <c r="F27" t="str">
        <f>A27</f>
        <v>Bengaluru-01</v>
      </c>
      <c r="G27" s="34">
        <f>GETPIVOTDATA("LoanID",$A$25,"BranchName","Bengaluru-01","LoanStatus","NPA")</f>
        <v>9.5238095238095233E-2</v>
      </c>
    </row>
    <row r="28" spans="1:9" x14ac:dyDescent="0.3">
      <c r="A28" s="27" t="s">
        <v>80</v>
      </c>
      <c r="B28" s="31">
        <v>0.72</v>
      </c>
      <c r="C28" s="31">
        <v>0.04</v>
      </c>
      <c r="D28" s="31">
        <v>0.24</v>
      </c>
      <c r="E28" s="31">
        <v>1</v>
      </c>
      <c r="F28" t="str">
        <f t="shared" ref="F28:F35" si="0">A28</f>
        <v>Bhubaneswar-01</v>
      </c>
      <c r="G28" s="34">
        <f>GETPIVOTDATA("LoanID",$A$25,"BranchName","Bhubaneswar-01","LoanStatus","NPA")</f>
        <v>0.04</v>
      </c>
    </row>
    <row r="29" spans="1:9" x14ac:dyDescent="0.3">
      <c r="A29" s="27" t="s">
        <v>60</v>
      </c>
      <c r="B29" s="31">
        <v>0.7142857142857143</v>
      </c>
      <c r="C29" s="31">
        <v>0.10714285714285714</v>
      </c>
      <c r="D29" s="31">
        <v>0.17857142857142858</v>
      </c>
      <c r="E29" s="31">
        <v>1</v>
      </c>
      <c r="F29" t="str">
        <f t="shared" si="0"/>
        <v>Chennai-01</v>
      </c>
      <c r="G29" s="34">
        <f>GETPIVOTDATA("LoanID",$A$25,"BranchName","Chennai-01","LoanStatus","NPA")</f>
        <v>0.10714285714285714</v>
      </c>
      <c r="I29" s="42">
        <f>GETPIVOTDATA("LoanID",$A$25,"LoanStatus","NPA")</f>
        <v>0.08</v>
      </c>
    </row>
    <row r="30" spans="1:9" x14ac:dyDescent="0.3">
      <c r="A30" s="27" t="s">
        <v>27</v>
      </c>
      <c r="B30" s="31">
        <v>0.79166666666666663</v>
      </c>
      <c r="C30" s="31">
        <v>8.3333333333333329E-2</v>
      </c>
      <c r="D30" s="31">
        <v>0.125</v>
      </c>
      <c r="E30" s="31">
        <v>1</v>
      </c>
      <c r="F30" t="str">
        <f t="shared" si="0"/>
        <v>Delhi-01</v>
      </c>
      <c r="G30" s="34">
        <f>GETPIVOTDATA("LoanID",$A$25,"BranchName","Delhi-01","LoanStatus","NPA")</f>
        <v>8.3333333333333329E-2</v>
      </c>
    </row>
    <row r="31" spans="1:9" x14ac:dyDescent="0.3">
      <c r="A31" s="27" t="s">
        <v>52</v>
      </c>
      <c r="B31" s="31">
        <v>0.77777777777777779</v>
      </c>
      <c r="C31" s="31">
        <v>7.407407407407407E-2</v>
      </c>
      <c r="D31" s="31">
        <v>0.14814814814814814</v>
      </c>
      <c r="E31" s="31">
        <v>1</v>
      </c>
      <c r="F31" t="str">
        <f t="shared" si="0"/>
        <v>Kolkata-01</v>
      </c>
      <c r="G31" s="34">
        <f>GETPIVOTDATA("LoanID",$A$25,"BranchName","Kolkata-01","LoanStatus","NPA")</f>
        <v>7.407407407407407E-2</v>
      </c>
    </row>
    <row r="32" spans="1:9" x14ac:dyDescent="0.3">
      <c r="A32" s="27" t="s">
        <v>65</v>
      </c>
      <c r="B32" s="31">
        <v>0.70833333333333337</v>
      </c>
      <c r="C32" s="31">
        <v>8.3333333333333329E-2</v>
      </c>
      <c r="D32" s="31">
        <v>0.20833333333333334</v>
      </c>
      <c r="E32" s="31">
        <v>1</v>
      </c>
      <c r="F32" t="str">
        <f t="shared" si="0"/>
        <v>Lucknow-01</v>
      </c>
      <c r="G32" s="34">
        <f>GETPIVOTDATA("LoanID",$A$25,"BranchName","Lucknow-01","LoanStatus","NPA")</f>
        <v>8.3333333333333329E-2</v>
      </c>
      <c r="I32" s="34">
        <f>GETPIVOTDATA("LoanID",$A$25,"LoanStatus","NPA")</f>
        <v>0.08</v>
      </c>
    </row>
    <row r="33" spans="1:8" x14ac:dyDescent="0.3">
      <c r="A33" s="27" t="s">
        <v>40</v>
      </c>
      <c r="B33" s="31">
        <v>0.77419354838709675</v>
      </c>
      <c r="C33" s="31">
        <v>6.4516129032258063E-2</v>
      </c>
      <c r="D33" s="31">
        <v>0.16129032258064516</v>
      </c>
      <c r="E33" s="31">
        <v>1</v>
      </c>
      <c r="F33" t="str">
        <f t="shared" si="0"/>
        <v>Mumbai-01</v>
      </c>
      <c r="G33" s="34">
        <f>GETPIVOTDATA("LoanID",$A$25,"BranchName","Mumbai-01","LoanStatus","NPA")</f>
        <v>6.4516129032258063E-2</v>
      </c>
    </row>
    <row r="34" spans="1:8" x14ac:dyDescent="0.3">
      <c r="A34" s="27" t="s">
        <v>33</v>
      </c>
      <c r="B34" s="31">
        <v>0.7</v>
      </c>
      <c r="C34" s="31">
        <v>0.1</v>
      </c>
      <c r="D34" s="31">
        <v>0.2</v>
      </c>
      <c r="E34" s="31">
        <v>1</v>
      </c>
      <c r="F34" t="str">
        <f t="shared" si="0"/>
        <v>Pune-01</v>
      </c>
      <c r="G34" s="34">
        <f>GETPIVOTDATA("LoanID",$A$25,"BranchName","Pune-01","LoanStatus","NPA")</f>
        <v>0.1</v>
      </c>
    </row>
    <row r="35" spans="1:8" x14ac:dyDescent="0.3">
      <c r="A35" s="27" t="s">
        <v>528</v>
      </c>
      <c r="B35" s="31">
        <v>0.73499999999999999</v>
      </c>
      <c r="C35" s="31">
        <v>0.08</v>
      </c>
      <c r="D35" s="31">
        <v>0.185</v>
      </c>
      <c r="E35" s="31">
        <v>1</v>
      </c>
      <c r="F35" t="str">
        <f t="shared" si="0"/>
        <v>Grand Total</v>
      </c>
    </row>
    <row r="40" spans="1:8" x14ac:dyDescent="0.3">
      <c r="A40" s="28" t="s">
        <v>539</v>
      </c>
      <c r="B40" s="28"/>
    </row>
    <row r="41" spans="1:8" x14ac:dyDescent="0.3">
      <c r="A41" s="26" t="s">
        <v>538</v>
      </c>
      <c r="B41" s="26" t="s">
        <v>532</v>
      </c>
    </row>
    <row r="42" spans="1:8" x14ac:dyDescent="0.3">
      <c r="A42" s="26" t="s">
        <v>527</v>
      </c>
      <c r="B42" t="s">
        <v>25</v>
      </c>
      <c r="C42" t="s">
        <v>55</v>
      </c>
      <c r="D42" t="s">
        <v>47</v>
      </c>
      <c r="E42" t="s">
        <v>528</v>
      </c>
    </row>
    <row r="43" spans="1:8" x14ac:dyDescent="0.3">
      <c r="A43" s="27" t="s">
        <v>53</v>
      </c>
      <c r="B43" s="31">
        <v>0.75</v>
      </c>
      <c r="C43" s="31">
        <v>5.7692307692307696E-2</v>
      </c>
      <c r="D43" s="31">
        <v>0.19230769230769232</v>
      </c>
      <c r="E43" s="31">
        <v>1</v>
      </c>
      <c r="F43" t="str" cm="1">
        <f t="array" ref="F43:F47">A43:A47</f>
        <v>East</v>
      </c>
      <c r="G43" s="34">
        <f>GETPIVOTDATA("LoanID",$A$41,"Region","East","LoanStatus","NPA")</f>
        <v>5.7692307692307696E-2</v>
      </c>
      <c r="H43" s="34">
        <f>GETPIVOTDATA("LoanID",$A$41,"LoanStatus","Overdue")</f>
        <v>0.185</v>
      </c>
    </row>
    <row r="44" spans="1:8" x14ac:dyDescent="0.3">
      <c r="A44" s="27" t="s">
        <v>28</v>
      </c>
      <c r="B44" s="31">
        <v>0.75</v>
      </c>
      <c r="C44" s="31">
        <v>8.3333333333333329E-2</v>
      </c>
      <c r="D44" s="31">
        <v>0.16666666666666666</v>
      </c>
      <c r="E44" s="31">
        <v>1</v>
      </c>
      <c r="F44" t="str">
        <v>North</v>
      </c>
      <c r="G44" s="34">
        <f>GETPIVOTDATA("LoanID",$A$41,"Region","North","LoanStatus","NPA")</f>
        <v>8.3333333333333329E-2</v>
      </c>
    </row>
    <row r="45" spans="1:8" x14ac:dyDescent="0.3">
      <c r="A45" s="27" t="s">
        <v>21</v>
      </c>
      <c r="B45" s="31">
        <v>0.69387755102040816</v>
      </c>
      <c r="C45" s="31">
        <v>0.10204081632653061</v>
      </c>
      <c r="D45" s="31">
        <v>0.20408163265306123</v>
      </c>
      <c r="E45" s="31">
        <v>1</v>
      </c>
      <c r="F45" t="str">
        <v>South</v>
      </c>
      <c r="G45" s="34">
        <f>GETPIVOTDATA("LoanID",$A$41,"Region","South","LoanStatus","NPA")</f>
        <v>0.10204081632653061</v>
      </c>
    </row>
    <row r="46" spans="1:8" x14ac:dyDescent="0.3">
      <c r="A46" s="27" t="s">
        <v>34</v>
      </c>
      <c r="B46" s="31">
        <v>0.74509803921568629</v>
      </c>
      <c r="C46" s="31">
        <v>7.8431372549019607E-2</v>
      </c>
      <c r="D46" s="31">
        <v>0.17647058823529413</v>
      </c>
      <c r="E46" s="31">
        <v>1</v>
      </c>
      <c r="F46" t="str">
        <v>West</v>
      </c>
      <c r="G46" s="34">
        <f>GETPIVOTDATA("LoanID",$A$41,"Region","West","LoanStatus","NPA")</f>
        <v>7.8431372549019607E-2</v>
      </c>
    </row>
    <row r="47" spans="1:8" x14ac:dyDescent="0.3">
      <c r="A47" s="27" t="s">
        <v>528</v>
      </c>
      <c r="B47" s="31">
        <v>0.73499999999999999</v>
      </c>
      <c r="C47" s="31">
        <v>0.08</v>
      </c>
      <c r="D47" s="31">
        <v>0.185</v>
      </c>
      <c r="E47" s="31">
        <v>1</v>
      </c>
      <c r="F47" t="str">
        <v>Grand Total</v>
      </c>
    </row>
    <row r="50" spans="1:9" x14ac:dyDescent="0.3">
      <c r="F50" s="34">
        <f>GETPIVOTDATA("LoanID",$A$41,"LoanStatus","Overdue")</f>
        <v>0.185</v>
      </c>
    </row>
    <row r="57" spans="1:9" x14ac:dyDescent="0.3">
      <c r="A57" s="28" t="s">
        <v>540</v>
      </c>
      <c r="B57" s="28"/>
    </row>
    <row r="58" spans="1:9" x14ac:dyDescent="0.3">
      <c r="A58" s="26" t="s">
        <v>538</v>
      </c>
      <c r="B58" s="26" t="s">
        <v>532</v>
      </c>
    </row>
    <row r="59" spans="1:9" x14ac:dyDescent="0.3">
      <c r="A59" s="26" t="s">
        <v>527</v>
      </c>
      <c r="B59" t="s">
        <v>25</v>
      </c>
      <c r="C59" t="s">
        <v>55</v>
      </c>
      <c r="D59" t="s">
        <v>47</v>
      </c>
      <c r="E59" t="s">
        <v>528</v>
      </c>
    </row>
    <row r="60" spans="1:9" x14ac:dyDescent="0.3">
      <c r="A60" s="27" t="s">
        <v>57</v>
      </c>
      <c r="B60" s="31">
        <v>0.63888888888888884</v>
      </c>
      <c r="C60" s="31">
        <v>8.3333333333333329E-2</v>
      </c>
      <c r="D60" s="31">
        <v>0.27777777777777779</v>
      </c>
      <c r="E60" s="31">
        <v>1</v>
      </c>
      <c r="F60" s="42" t="str" cm="1">
        <f t="array" ref="F60:F65">A60:A65</f>
        <v>Business Loan</v>
      </c>
      <c r="G60" s="42">
        <f>GETPIVOTDATA("LoanID",$A$58,"LoanProduct","Business Loan","LoanStatus","NPA")</f>
        <v>8.3333333333333329E-2</v>
      </c>
      <c r="H60" s="34" t="str" cm="1">
        <f t="array" ref="H60:H65">A60:A65</f>
        <v>Business Loan</v>
      </c>
      <c r="I60" s="38">
        <f>GETPIVOTDATA("LoanID",$A$58,"LoanProduct","Business Loan","LoanStatus","Overdue")</f>
        <v>0.27777777777777779</v>
      </c>
    </row>
    <row r="61" spans="1:9" x14ac:dyDescent="0.3">
      <c r="A61" s="27" t="s">
        <v>29</v>
      </c>
      <c r="B61" s="31">
        <v>0.92500000000000004</v>
      </c>
      <c r="C61" s="31">
        <v>2.5000000000000001E-2</v>
      </c>
      <c r="D61" s="31">
        <v>0.05</v>
      </c>
      <c r="E61" s="31">
        <v>1</v>
      </c>
      <c r="F61" s="42" t="str">
        <v>Gold Loan</v>
      </c>
      <c r="G61" s="42">
        <f>GETPIVOTDATA("LoanID",$A$58,"LoanProduct","Gold Loan","LoanStatus","NPA")</f>
        <v>2.5000000000000001E-2</v>
      </c>
      <c r="H61" s="34" t="str">
        <v>Gold Loan</v>
      </c>
      <c r="I61" s="38">
        <f>GETPIVOTDATA("LoanID",$A$58,"LoanProduct","Gold Loan","LoanStatus","Overdue")</f>
        <v>0.05</v>
      </c>
    </row>
    <row r="62" spans="1:9" x14ac:dyDescent="0.3">
      <c r="A62" s="27" t="s">
        <v>49</v>
      </c>
      <c r="B62" s="31">
        <v>0.73529411764705888</v>
      </c>
      <c r="C62" s="31">
        <v>8.8235294117647065E-2</v>
      </c>
      <c r="D62" s="31">
        <v>0.17647058823529413</v>
      </c>
      <c r="E62" s="31">
        <v>1</v>
      </c>
      <c r="F62" s="42" t="str">
        <v>Home Improvement Loan</v>
      </c>
      <c r="G62" s="42">
        <f>GETPIVOTDATA("LoanID",$A$58,"LoanProduct","Home Improvement Loan","LoanStatus","NPA")</f>
        <v>8.8235294117647065E-2</v>
      </c>
      <c r="H62" s="34" t="str">
        <v>Home Improvement Loan</v>
      </c>
      <c r="I62" s="38">
        <f>GETPIVOTDATA("LoanID",$A$58,"LoanProduct","Home Improvement Loan","LoanStatus","Overdue")</f>
        <v>0.17647058823529413</v>
      </c>
    </row>
    <row r="63" spans="1:9" x14ac:dyDescent="0.3">
      <c r="A63" s="27" t="s">
        <v>35</v>
      </c>
      <c r="B63" s="31">
        <v>0.56818181818181823</v>
      </c>
      <c r="C63" s="31">
        <v>0.13636363636363635</v>
      </c>
      <c r="D63" s="31">
        <v>0.29545454545454547</v>
      </c>
      <c r="E63" s="31">
        <v>1</v>
      </c>
      <c r="F63" s="42" t="str">
        <v>Personal Loan</v>
      </c>
      <c r="G63" s="42">
        <f>GETPIVOTDATA("LoanID",$A$58,"LoanProduct","Personal Loan","LoanStatus","NPA")</f>
        <v>0.13636363636363635</v>
      </c>
      <c r="H63" s="34" t="str">
        <v>Personal Loan</v>
      </c>
      <c r="I63" s="38">
        <f>GETPIVOTDATA("LoanID",$A$58,"LoanProduct","Personal Loan","LoanStatus","Overdue")</f>
        <v>0.29545454545454547</v>
      </c>
    </row>
    <row r="64" spans="1:9" x14ac:dyDescent="0.3">
      <c r="A64" s="27" t="s">
        <v>22</v>
      </c>
      <c r="B64" s="31">
        <v>0.80434782608695654</v>
      </c>
      <c r="C64" s="31">
        <v>6.5217391304347824E-2</v>
      </c>
      <c r="D64" s="31">
        <v>0.13043478260869565</v>
      </c>
      <c r="E64" s="31">
        <v>1</v>
      </c>
      <c r="F64" s="42" t="str">
        <v>Vehicle Loan</v>
      </c>
      <c r="G64" s="42">
        <f>GETPIVOTDATA("LoanID",$A$58,"LoanProduct","Vehicle Loan","LoanStatus","NPA")</f>
        <v>6.5217391304347824E-2</v>
      </c>
      <c r="H64" s="34" t="str">
        <v>Vehicle Loan</v>
      </c>
      <c r="I64" s="38">
        <f>GETPIVOTDATA("LoanID",$A$58,"LoanProduct","Vehicle Loan","LoanStatus","Overdue")</f>
        <v>0.13043478260869565</v>
      </c>
    </row>
    <row r="65" spans="1:9" x14ac:dyDescent="0.3">
      <c r="A65" s="27" t="s">
        <v>528</v>
      </c>
      <c r="B65" s="31">
        <v>0.73499999999999999</v>
      </c>
      <c r="C65" s="31">
        <v>0.08</v>
      </c>
      <c r="D65" s="31">
        <v>0.185</v>
      </c>
      <c r="E65" s="31">
        <v>1</v>
      </c>
      <c r="F65" t="str">
        <v>Grand Total</v>
      </c>
      <c r="H65" t="str">
        <v>Grand Total</v>
      </c>
    </row>
    <row r="69" spans="1:9" x14ac:dyDescent="0.3">
      <c r="A69" s="28" t="s">
        <v>542</v>
      </c>
      <c r="B69" s="28"/>
    </row>
    <row r="70" spans="1:9" x14ac:dyDescent="0.3">
      <c r="A70" s="26" t="s">
        <v>538</v>
      </c>
      <c r="B70" s="26" t="s">
        <v>532</v>
      </c>
    </row>
    <row r="71" spans="1:9" x14ac:dyDescent="0.3">
      <c r="A71" s="26" t="s">
        <v>527</v>
      </c>
      <c r="B71" t="s">
        <v>25</v>
      </c>
      <c r="C71" t="s">
        <v>55</v>
      </c>
      <c r="D71" t="s">
        <v>47</v>
      </c>
      <c r="E71" t="s">
        <v>528</v>
      </c>
    </row>
    <row r="72" spans="1:9" x14ac:dyDescent="0.3">
      <c r="A72" s="27" t="s">
        <v>42</v>
      </c>
      <c r="B72" s="31">
        <v>0.67647058823529416</v>
      </c>
      <c r="C72" s="31">
        <v>0.10294117647058823</v>
      </c>
      <c r="D72" s="31">
        <v>0.22058823529411764</v>
      </c>
      <c r="E72" s="31">
        <v>1</v>
      </c>
      <c r="F72" s="34" t="str" cm="1">
        <f t="array" ref="F72:F75">A72:A75</f>
        <v>Business Owner</v>
      </c>
      <c r="G72" s="34">
        <f>GETPIVOTDATA("LoanID",$A$70,"EmploymentType","Business Owner","LoanStatus","NPA")</f>
        <v>0.10294117647058823</v>
      </c>
      <c r="H72" s="34" t="str" cm="1">
        <f t="array" ref="H72:H75">A72:A75</f>
        <v>Business Owner</v>
      </c>
      <c r="I72" s="38">
        <f>GETPIVOTDATA("LoanID",$A$70,"EmploymentType","Business Owner","LoanStatus","Overdue")</f>
        <v>0.22058823529411764</v>
      </c>
    </row>
    <row r="73" spans="1:9" x14ac:dyDescent="0.3">
      <c r="A73" s="27" t="s">
        <v>31</v>
      </c>
      <c r="B73" s="31">
        <v>0.83783783783783783</v>
      </c>
      <c r="C73" s="31">
        <v>5.4054054054054057E-2</v>
      </c>
      <c r="D73" s="31">
        <v>0.10810810810810811</v>
      </c>
      <c r="E73" s="31">
        <v>1</v>
      </c>
      <c r="F73" s="34" t="str">
        <v>Salaried</v>
      </c>
      <c r="G73" s="34">
        <f>GETPIVOTDATA("LoanID",$A$70,"EmploymentType","Salaried","LoanStatus","NPA")</f>
        <v>5.4054054054054057E-2</v>
      </c>
      <c r="H73" s="34" t="str">
        <v>Salaried</v>
      </c>
      <c r="I73" s="38">
        <f>GETPIVOTDATA("LoanID",$A$70,"EmploymentType","Salaried","LoanStatus","Overdue")</f>
        <v>0.10810810810810811</v>
      </c>
    </row>
    <row r="74" spans="1:9" x14ac:dyDescent="0.3">
      <c r="A74" s="27" t="s">
        <v>24</v>
      </c>
      <c r="B74" s="31">
        <v>0.67241379310344829</v>
      </c>
      <c r="C74" s="31">
        <v>8.6206896551724144E-2</v>
      </c>
      <c r="D74" s="31">
        <v>0.2413793103448276</v>
      </c>
      <c r="E74" s="31">
        <v>1</v>
      </c>
      <c r="F74" s="34" t="str">
        <v>Self-Employed</v>
      </c>
      <c r="G74" s="34">
        <f>GETPIVOTDATA("LoanID",$A$70,"EmploymentType","Self-Employed","LoanStatus","NPA")</f>
        <v>8.6206896551724144E-2</v>
      </c>
      <c r="H74" s="34" t="str">
        <v>Self-Employed</v>
      </c>
      <c r="I74" s="38">
        <f>GETPIVOTDATA("LoanID",$A$70,"EmploymentType","Self-Employed","LoanStatus","Overdue")</f>
        <v>0.2413793103448276</v>
      </c>
    </row>
    <row r="75" spans="1:9" x14ac:dyDescent="0.3">
      <c r="A75" s="27" t="s">
        <v>528</v>
      </c>
      <c r="B75" s="31">
        <v>0.73499999999999999</v>
      </c>
      <c r="C75" s="31">
        <v>0.08</v>
      </c>
      <c r="D75" s="31">
        <v>0.185</v>
      </c>
      <c r="E75" s="31">
        <v>1</v>
      </c>
      <c r="F75" t="str">
        <v>Grand Total</v>
      </c>
      <c r="H75" t="str">
        <v>Grand Total</v>
      </c>
    </row>
    <row r="81" spans="1:7" x14ac:dyDescent="0.3">
      <c r="A81" s="28" t="s">
        <v>544</v>
      </c>
      <c r="B81" s="28"/>
    </row>
    <row r="83" spans="1:7" x14ac:dyDescent="0.3">
      <c r="A83" s="26" t="s">
        <v>538</v>
      </c>
      <c r="B83" s="26" t="s">
        <v>532</v>
      </c>
    </row>
    <row r="84" spans="1:7" x14ac:dyDescent="0.3">
      <c r="A84" s="26" t="s">
        <v>527</v>
      </c>
      <c r="B84" t="s">
        <v>25</v>
      </c>
      <c r="C84" t="s">
        <v>55</v>
      </c>
      <c r="D84" t="s">
        <v>47</v>
      </c>
      <c r="E84" t="s">
        <v>528</v>
      </c>
    </row>
    <row r="85" spans="1:7" x14ac:dyDescent="0.3">
      <c r="A85" s="27" t="s">
        <v>545</v>
      </c>
      <c r="B85" s="31">
        <v>0.72727272727272729</v>
      </c>
      <c r="C85" s="31">
        <v>6.0606060606060608E-2</v>
      </c>
      <c r="D85" s="31">
        <v>0.21212121212121213</v>
      </c>
      <c r="E85" s="31">
        <v>1</v>
      </c>
      <c r="F85" t="str" cm="1">
        <f t="array" ref="F85:F89">A85:A89</f>
        <v>&lt;30</v>
      </c>
      <c r="G85" s="31">
        <f>GETPIVOTDATA("LoanID",$A$83,"age catogory","&lt;30","LoanStatus","NPA")</f>
        <v>6.0606060606060608E-2</v>
      </c>
    </row>
    <row r="86" spans="1:7" x14ac:dyDescent="0.3">
      <c r="A86" s="27" t="s">
        <v>546</v>
      </c>
      <c r="B86" s="31">
        <v>0.71739130434782605</v>
      </c>
      <c r="C86" s="31">
        <v>0.13043478260869565</v>
      </c>
      <c r="D86" s="31">
        <v>0.15217391304347827</v>
      </c>
      <c r="E86" s="31">
        <v>1</v>
      </c>
      <c r="F86" t="str">
        <v>30-40</v>
      </c>
      <c r="G86" s="31">
        <f>GETPIVOTDATA("LoanID",$A$83,"age catogory","30-40","LoanStatus","NPA")</f>
        <v>0.13043478260869565</v>
      </c>
    </row>
    <row r="87" spans="1:7" x14ac:dyDescent="0.3">
      <c r="A87" s="27" t="s">
        <v>547</v>
      </c>
      <c r="B87" s="31">
        <v>0.7384615384615385</v>
      </c>
      <c r="C87" s="31">
        <v>9.2307692307692313E-2</v>
      </c>
      <c r="D87" s="31">
        <v>0.16923076923076924</v>
      </c>
      <c r="E87" s="31">
        <v>1</v>
      </c>
      <c r="F87" t="str">
        <v>40-50</v>
      </c>
      <c r="G87" s="31">
        <f>GETPIVOTDATA("LoanID",$A$83,"age catogory","40-50","LoanStatus","NPA")</f>
        <v>9.2307692307692313E-2</v>
      </c>
    </row>
    <row r="88" spans="1:7" x14ac:dyDescent="0.3">
      <c r="A88" s="27" t="s">
        <v>548</v>
      </c>
      <c r="B88" s="31">
        <v>0.75</v>
      </c>
      <c r="C88" s="31">
        <v>3.5714285714285712E-2</v>
      </c>
      <c r="D88" s="31">
        <v>0.21428571428571427</v>
      </c>
      <c r="E88" s="31">
        <v>1</v>
      </c>
      <c r="F88" t="str">
        <v>50+</v>
      </c>
      <c r="G88" s="31">
        <f>GETPIVOTDATA("LoanID",$A$83,"age catogory","50+","LoanStatus","NPA")</f>
        <v>3.5714285714285712E-2</v>
      </c>
    </row>
    <row r="89" spans="1:7" x14ac:dyDescent="0.3">
      <c r="A89" s="27" t="s">
        <v>528</v>
      </c>
      <c r="B89" s="31">
        <v>0.73499999999999999</v>
      </c>
      <c r="C89" s="31">
        <v>0.08</v>
      </c>
      <c r="D89" s="31">
        <v>0.185</v>
      </c>
      <c r="E89" s="31">
        <v>1</v>
      </c>
      <c r="F89" t="str">
        <v>Grand Total</v>
      </c>
    </row>
    <row r="91" spans="1:7" x14ac:dyDescent="0.3">
      <c r="E91" s="34">
        <f>GETPIVOTDATA("LoanID",$A$83,"LoanStatus","Overdue")</f>
        <v>0.185</v>
      </c>
    </row>
    <row r="94" spans="1:7" x14ac:dyDescent="0.3">
      <c r="A94" s="28" t="s">
        <v>549</v>
      </c>
      <c r="B94" s="28"/>
    </row>
    <row r="95" spans="1:7" x14ac:dyDescent="0.3">
      <c r="A95" s="26" t="s">
        <v>527</v>
      </c>
      <c r="B95" t="s">
        <v>550</v>
      </c>
    </row>
    <row r="96" spans="1:7" x14ac:dyDescent="0.3">
      <c r="A96" s="46" t="s">
        <v>52</v>
      </c>
      <c r="B96" s="47">
        <v>0.1570819311080712</v>
      </c>
    </row>
    <row r="97" spans="1:2" x14ac:dyDescent="0.3">
      <c r="A97" s="27" t="s">
        <v>80</v>
      </c>
      <c r="B97" s="31">
        <v>0.15422971398462723</v>
      </c>
    </row>
    <row r="98" spans="1:2" x14ac:dyDescent="0.3">
      <c r="A98" s="27" t="s">
        <v>40</v>
      </c>
      <c r="B98" s="31">
        <v>0.14046411497493907</v>
      </c>
    </row>
    <row r="99" spans="1:2" x14ac:dyDescent="0.3">
      <c r="A99" s="27" t="s">
        <v>20</v>
      </c>
      <c r="B99" s="31">
        <v>0.12043052770701584</v>
      </c>
    </row>
    <row r="100" spans="1:2" x14ac:dyDescent="0.3">
      <c r="A100" s="27" t="s">
        <v>27</v>
      </c>
      <c r="B100" s="31">
        <v>0.11606015945960545</v>
      </c>
    </row>
    <row r="101" spans="1:2" x14ac:dyDescent="0.3">
      <c r="A101" s="27" t="s">
        <v>65</v>
      </c>
      <c r="B101" s="31">
        <v>0.10617881169194071</v>
      </c>
    </row>
    <row r="102" spans="1:2" x14ac:dyDescent="0.3">
      <c r="A102" s="27" t="s">
        <v>33</v>
      </c>
      <c r="B102" s="31">
        <v>0.1050787101695457</v>
      </c>
    </row>
    <row r="103" spans="1:2" x14ac:dyDescent="0.3">
      <c r="A103" s="27" t="s">
        <v>60</v>
      </c>
      <c r="B103" s="31">
        <v>0.10047603090425479</v>
      </c>
    </row>
    <row r="104" spans="1:2" x14ac:dyDescent="0.3">
      <c r="A104" s="27" t="s">
        <v>528</v>
      </c>
      <c r="B104" s="31">
        <v>1</v>
      </c>
    </row>
    <row r="110" spans="1:2" x14ac:dyDescent="0.3">
      <c r="A110" s="28" t="s">
        <v>551</v>
      </c>
      <c r="B110" s="28"/>
    </row>
    <row r="111" spans="1:2" x14ac:dyDescent="0.3">
      <c r="A111" s="26" t="s">
        <v>527</v>
      </c>
      <c r="B111" t="s">
        <v>552</v>
      </c>
    </row>
    <row r="112" spans="1:2" x14ac:dyDescent="0.3">
      <c r="A112" s="36" t="s">
        <v>35</v>
      </c>
      <c r="B112" s="37">
        <v>4.2375099702704665E-2</v>
      </c>
    </row>
    <row r="113" spans="1:3" x14ac:dyDescent="0.3">
      <c r="A113" s="27" t="s">
        <v>57</v>
      </c>
      <c r="B113" s="32">
        <v>3.7494784674171229E-2</v>
      </c>
    </row>
    <row r="114" spans="1:3" x14ac:dyDescent="0.3">
      <c r="A114" s="27" t="s">
        <v>49</v>
      </c>
      <c r="B114" s="32">
        <v>3.2142924528301885E-2</v>
      </c>
    </row>
    <row r="115" spans="1:3" x14ac:dyDescent="0.3">
      <c r="A115" s="27" t="s">
        <v>22</v>
      </c>
      <c r="B115" s="32">
        <v>2.6521819703491153E-2</v>
      </c>
    </row>
    <row r="116" spans="1:3" x14ac:dyDescent="0.3">
      <c r="A116" s="27" t="s">
        <v>29</v>
      </c>
      <c r="B116" s="32">
        <v>2.480655686761964E-2</v>
      </c>
    </row>
    <row r="117" spans="1:3" x14ac:dyDescent="0.3">
      <c r="A117" s="27" t="s">
        <v>528</v>
      </c>
      <c r="B117" s="32">
        <v>3.3177197714285712E-2</v>
      </c>
    </row>
    <row r="122" spans="1:3" x14ac:dyDescent="0.3">
      <c r="A122" s="28" t="s">
        <v>553</v>
      </c>
      <c r="B122" s="28"/>
    </row>
    <row r="123" spans="1:3" x14ac:dyDescent="0.3">
      <c r="A123" s="26" t="s">
        <v>527</v>
      </c>
      <c r="B123" t="s">
        <v>531</v>
      </c>
      <c r="C123" t="s">
        <v>550</v>
      </c>
    </row>
    <row r="124" spans="1:3" x14ac:dyDescent="0.3">
      <c r="A124" s="27" t="s">
        <v>80</v>
      </c>
      <c r="B124" s="53">
        <v>16066000</v>
      </c>
      <c r="C124" s="51">
        <v>559662</v>
      </c>
    </row>
    <row r="125" spans="1:3" x14ac:dyDescent="0.3">
      <c r="A125" s="27" t="s">
        <v>65</v>
      </c>
      <c r="B125" s="51">
        <v>15160000</v>
      </c>
      <c r="C125" s="51">
        <v>385297</v>
      </c>
    </row>
    <row r="126" spans="1:3" x14ac:dyDescent="0.3">
      <c r="A126" s="27" t="s">
        <v>52</v>
      </c>
      <c r="B126" s="51">
        <v>14587000</v>
      </c>
      <c r="C126" s="54">
        <v>570012</v>
      </c>
    </row>
    <row r="127" spans="1:3" x14ac:dyDescent="0.3">
      <c r="A127" s="27" t="s">
        <v>40</v>
      </c>
      <c r="B127" s="51">
        <v>14525000</v>
      </c>
      <c r="C127" s="51">
        <v>509710</v>
      </c>
    </row>
    <row r="128" spans="1:3" x14ac:dyDescent="0.3">
      <c r="A128" s="27" t="s">
        <v>20</v>
      </c>
      <c r="B128" s="51">
        <v>13474000</v>
      </c>
      <c r="C128" s="51">
        <v>437013</v>
      </c>
    </row>
    <row r="129" spans="1:7" x14ac:dyDescent="0.3">
      <c r="A129" s="27" t="s">
        <v>27</v>
      </c>
      <c r="B129" s="51">
        <v>12263000</v>
      </c>
      <c r="C129" s="51">
        <v>421154</v>
      </c>
    </row>
    <row r="130" spans="1:7" x14ac:dyDescent="0.3">
      <c r="A130" s="27" t="s">
        <v>33</v>
      </c>
      <c r="B130" s="51">
        <v>11883000</v>
      </c>
      <c r="C130" s="51">
        <v>381305</v>
      </c>
    </row>
    <row r="131" spans="1:7" x14ac:dyDescent="0.3">
      <c r="A131" s="27" t="s">
        <v>60</v>
      </c>
      <c r="B131" s="51">
        <v>11417000</v>
      </c>
      <c r="C131" s="51">
        <v>364603</v>
      </c>
    </row>
    <row r="132" spans="1:7" x14ac:dyDescent="0.3">
      <c r="A132" s="27" t="s">
        <v>528</v>
      </c>
      <c r="B132" s="51">
        <v>109375000</v>
      </c>
      <c r="C132" s="44">
        <v>3628756</v>
      </c>
    </row>
    <row r="138" spans="1:7" x14ac:dyDescent="0.3">
      <c r="A138" s="28" t="s">
        <v>555</v>
      </c>
      <c r="B138" s="28"/>
    </row>
    <row r="139" spans="1:7" x14ac:dyDescent="0.3">
      <c r="A139" s="26" t="s">
        <v>527</v>
      </c>
      <c r="B139" t="s">
        <v>538</v>
      </c>
      <c r="C139" t="s">
        <v>535</v>
      </c>
      <c r="F139">
        <f>GETPIVOTDATA("Count of LoanID",$A$139)</f>
        <v>200</v>
      </c>
    </row>
    <row r="140" spans="1:7" x14ac:dyDescent="0.3">
      <c r="A140" s="27" t="s">
        <v>25</v>
      </c>
      <c r="B140" s="51">
        <v>147</v>
      </c>
      <c r="C140" s="51">
        <v>68968670</v>
      </c>
    </row>
    <row r="141" spans="1:7" x14ac:dyDescent="0.3">
      <c r="A141" s="27" t="s">
        <v>55</v>
      </c>
      <c r="B141" s="51">
        <v>16</v>
      </c>
      <c r="C141" s="51">
        <v>9462709</v>
      </c>
    </row>
    <row r="142" spans="1:7" x14ac:dyDescent="0.3">
      <c r="A142" s="33" t="s">
        <v>47</v>
      </c>
      <c r="B142" s="55">
        <v>37</v>
      </c>
      <c r="C142" s="55">
        <v>20870151</v>
      </c>
      <c r="G142">
        <f>GETPIVOTDATA("Count of LoanID",$A$139)</f>
        <v>200</v>
      </c>
    </row>
    <row r="143" spans="1:7" x14ac:dyDescent="0.3">
      <c r="A143" s="27" t="s">
        <v>528</v>
      </c>
      <c r="B143" s="51">
        <v>200</v>
      </c>
      <c r="C143" s="51">
        <v>99301530</v>
      </c>
    </row>
    <row r="144" spans="1:7" x14ac:dyDescent="0.3">
      <c r="A144" s="28" t="s">
        <v>556</v>
      </c>
      <c r="B144" s="28"/>
    </row>
    <row r="145" spans="1:7" x14ac:dyDescent="0.3">
      <c r="A145" s="26" t="s">
        <v>538</v>
      </c>
      <c r="B145" s="26" t="s">
        <v>532</v>
      </c>
    </row>
    <row r="146" spans="1:7" x14ac:dyDescent="0.3">
      <c r="A146" s="26" t="s">
        <v>527</v>
      </c>
      <c r="B146" t="s">
        <v>25</v>
      </c>
      <c r="C146" t="s">
        <v>55</v>
      </c>
      <c r="D146" t="s">
        <v>47</v>
      </c>
      <c r="E146" t="s">
        <v>528</v>
      </c>
    </row>
    <row r="147" spans="1:7" x14ac:dyDescent="0.3">
      <c r="A147" s="27" t="s">
        <v>20</v>
      </c>
      <c r="B147" s="51">
        <v>14</v>
      </c>
      <c r="C147" s="51">
        <v>2</v>
      </c>
      <c r="D147" s="51">
        <v>5</v>
      </c>
      <c r="E147" s="51">
        <v>21</v>
      </c>
      <c r="F147" t="str" cm="1">
        <f t="array" ref="F147:F155">A147:A155</f>
        <v>Bengaluru-01</v>
      </c>
      <c r="G147">
        <f>GETPIVOTDATA("LoanID",$A$145,"BranchName","Bengaluru-01","LoanStatus","Overdue")</f>
        <v>5</v>
      </c>
    </row>
    <row r="148" spans="1:7" x14ac:dyDescent="0.3">
      <c r="A148" s="45" t="s">
        <v>80</v>
      </c>
      <c r="B148" s="52">
        <v>18</v>
      </c>
      <c r="C148" s="52">
        <v>1</v>
      </c>
      <c r="D148" s="52">
        <v>6</v>
      </c>
      <c r="E148" s="52">
        <v>25</v>
      </c>
      <c r="F148" t="str">
        <v>Bhubaneswar-01</v>
      </c>
      <c r="G148">
        <f>GETPIVOTDATA("LoanID",$A$145,"BranchName","Bhubaneswar-01","LoanStatus","Overdue")</f>
        <v>6</v>
      </c>
    </row>
    <row r="149" spans="1:7" x14ac:dyDescent="0.3">
      <c r="A149" s="27" t="s">
        <v>60</v>
      </c>
      <c r="B149" s="51">
        <v>20</v>
      </c>
      <c r="C149" s="51">
        <v>3</v>
      </c>
      <c r="D149" s="51">
        <v>5</v>
      </c>
      <c r="E149" s="51">
        <v>28</v>
      </c>
      <c r="F149" t="str">
        <v>Chennai-01</v>
      </c>
      <c r="G149">
        <f>GETPIVOTDATA("LoanID",$A$145,"BranchName","Chennai-01","LoanStatus","Overdue")</f>
        <v>5</v>
      </c>
    </row>
    <row r="150" spans="1:7" x14ac:dyDescent="0.3">
      <c r="A150" s="27" t="s">
        <v>27</v>
      </c>
      <c r="B150" s="51">
        <v>19</v>
      </c>
      <c r="C150" s="51">
        <v>2</v>
      </c>
      <c r="D150" s="51">
        <v>3</v>
      </c>
      <c r="E150" s="51">
        <v>24</v>
      </c>
      <c r="F150" t="str">
        <v>Delhi-01</v>
      </c>
      <c r="G150">
        <f>GETPIVOTDATA("LoanID",$A$145,"BranchName","Delhi-01","LoanStatus","Overdue")</f>
        <v>3</v>
      </c>
    </row>
    <row r="151" spans="1:7" x14ac:dyDescent="0.3">
      <c r="A151" s="27" t="s">
        <v>52</v>
      </c>
      <c r="B151" s="51">
        <v>21</v>
      </c>
      <c r="C151" s="51">
        <v>2</v>
      </c>
      <c r="D151" s="51">
        <v>4</v>
      </c>
      <c r="E151" s="51">
        <v>27</v>
      </c>
      <c r="F151" t="str">
        <v>Kolkata-01</v>
      </c>
      <c r="G151">
        <f>GETPIVOTDATA("LoanID",$A$145,"BranchName","Kolkata-01","LoanStatus","Overdue")</f>
        <v>4</v>
      </c>
    </row>
    <row r="152" spans="1:7" x14ac:dyDescent="0.3">
      <c r="A152" s="27" t="s">
        <v>65</v>
      </c>
      <c r="B152" s="51">
        <v>17</v>
      </c>
      <c r="C152" s="51">
        <v>2</v>
      </c>
      <c r="D152" s="51">
        <v>5</v>
      </c>
      <c r="E152" s="51">
        <v>24</v>
      </c>
      <c r="F152" t="str">
        <v>Lucknow-01</v>
      </c>
      <c r="G152">
        <f>GETPIVOTDATA("LoanID",$A$145,"BranchName","Lucknow-01","LoanStatus","Overdue")</f>
        <v>5</v>
      </c>
    </row>
    <row r="153" spans="1:7" x14ac:dyDescent="0.3">
      <c r="A153" s="27" t="s">
        <v>40</v>
      </c>
      <c r="B153" s="51">
        <v>24</v>
      </c>
      <c r="C153" s="51">
        <v>2</v>
      </c>
      <c r="D153" s="51">
        <v>5</v>
      </c>
      <c r="E153" s="51">
        <v>31</v>
      </c>
      <c r="F153" t="str">
        <v>Mumbai-01</v>
      </c>
      <c r="G153">
        <f>GETPIVOTDATA("LoanID",$A$145,"BranchName","Mumbai-01","LoanStatus","Overdue")</f>
        <v>5</v>
      </c>
    </row>
    <row r="154" spans="1:7" x14ac:dyDescent="0.3">
      <c r="A154" s="27" t="s">
        <v>33</v>
      </c>
      <c r="B154" s="51">
        <v>14</v>
      </c>
      <c r="C154" s="51">
        <v>2</v>
      </c>
      <c r="D154" s="51">
        <v>4</v>
      </c>
      <c r="E154" s="51">
        <v>20</v>
      </c>
      <c r="F154" t="str">
        <v>Pune-01</v>
      </c>
      <c r="G154">
        <f>GETPIVOTDATA("LoanID",$A$145,"BranchName","Pune-01","LoanStatus","Overdue")</f>
        <v>4</v>
      </c>
    </row>
    <row r="155" spans="1:7" x14ac:dyDescent="0.3">
      <c r="A155" s="27" t="s">
        <v>528</v>
      </c>
      <c r="B155" s="51">
        <v>147</v>
      </c>
      <c r="C155" s="51">
        <v>16</v>
      </c>
      <c r="D155" s="51">
        <v>37</v>
      </c>
      <c r="E155" s="51">
        <v>200</v>
      </c>
      <c r="F155" t="str">
        <v>Grand Total</v>
      </c>
    </row>
    <row r="158" spans="1:7" x14ac:dyDescent="0.3">
      <c r="E158">
        <f>GETPIVOTDATA("LoanID",$A$145,"LoanStatus","Overdue")</f>
        <v>37</v>
      </c>
    </row>
    <row r="163" spans="1:4" x14ac:dyDescent="0.3">
      <c r="A163" t="s">
        <v>538</v>
      </c>
      <c r="B163" s="43"/>
    </row>
    <row r="164" spans="1:4" x14ac:dyDescent="0.3">
      <c r="A164" s="51">
        <v>200</v>
      </c>
    </row>
    <row r="167" spans="1:4" x14ac:dyDescent="0.3">
      <c r="A167" s="35" t="s">
        <v>561</v>
      </c>
    </row>
    <row r="168" spans="1:4" x14ac:dyDescent="0.3">
      <c r="A168" s="26" t="s">
        <v>527</v>
      </c>
      <c r="B168" t="s">
        <v>535</v>
      </c>
    </row>
    <row r="169" spans="1:4" x14ac:dyDescent="0.3">
      <c r="A169" s="27" t="s">
        <v>563</v>
      </c>
      <c r="B169" s="51">
        <v>68968670</v>
      </c>
    </row>
    <row r="170" spans="1:4" x14ac:dyDescent="0.3">
      <c r="A170" s="27" t="s">
        <v>564</v>
      </c>
      <c r="B170" s="51">
        <v>20870151</v>
      </c>
      <c r="D170" t="s">
        <v>562</v>
      </c>
    </row>
    <row r="171" spans="1:4" x14ac:dyDescent="0.3">
      <c r="A171" s="27" t="s">
        <v>565</v>
      </c>
      <c r="B171" s="51">
        <v>9462709</v>
      </c>
    </row>
    <row r="172" spans="1:4" x14ac:dyDescent="0.3">
      <c r="A172" s="27" t="s">
        <v>528</v>
      </c>
      <c r="B172" s="51">
        <v>99301530</v>
      </c>
    </row>
    <row r="177" spans="1:2" x14ac:dyDescent="0.3">
      <c r="A177" s="28" t="s">
        <v>566</v>
      </c>
      <c r="B177" s="28"/>
    </row>
    <row r="178" spans="1:2" x14ac:dyDescent="0.3">
      <c r="A178" s="26" t="s">
        <v>527</v>
      </c>
      <c r="B178" t="s">
        <v>550</v>
      </c>
    </row>
    <row r="179" spans="1:2" x14ac:dyDescent="0.3">
      <c r="A179" s="27" t="s">
        <v>20</v>
      </c>
      <c r="B179" s="51">
        <v>437013</v>
      </c>
    </row>
    <row r="180" spans="1:2" x14ac:dyDescent="0.3">
      <c r="A180" s="27" t="s">
        <v>80</v>
      </c>
      <c r="B180" s="51">
        <v>559662</v>
      </c>
    </row>
    <row r="181" spans="1:2" x14ac:dyDescent="0.3">
      <c r="A181" s="27" t="s">
        <v>60</v>
      </c>
      <c r="B181" s="51">
        <v>364603</v>
      </c>
    </row>
    <row r="182" spans="1:2" x14ac:dyDescent="0.3">
      <c r="A182" s="27" t="s">
        <v>27</v>
      </c>
      <c r="B182" s="51">
        <v>421154</v>
      </c>
    </row>
    <row r="183" spans="1:2" x14ac:dyDescent="0.3">
      <c r="A183" s="46" t="s">
        <v>52</v>
      </c>
      <c r="B183" s="56">
        <v>570012</v>
      </c>
    </row>
    <row r="184" spans="1:2" x14ac:dyDescent="0.3">
      <c r="A184" s="27" t="s">
        <v>65</v>
      </c>
      <c r="B184" s="51">
        <v>385297</v>
      </c>
    </row>
    <row r="185" spans="1:2" x14ac:dyDescent="0.3">
      <c r="A185" s="27" t="s">
        <v>40</v>
      </c>
      <c r="B185" s="51">
        <v>509710</v>
      </c>
    </row>
    <row r="186" spans="1:2" x14ac:dyDescent="0.3">
      <c r="A186" s="27" t="s">
        <v>33</v>
      </c>
      <c r="B186" s="51">
        <v>381305</v>
      </c>
    </row>
    <row r="187" spans="1:2" x14ac:dyDescent="0.3">
      <c r="A187" s="27" t="s">
        <v>528</v>
      </c>
      <c r="B187" s="51">
        <v>3628756</v>
      </c>
    </row>
    <row r="190" spans="1:2" x14ac:dyDescent="0.3">
      <c r="A190" s="28" t="s">
        <v>567</v>
      </c>
      <c r="B190" s="28"/>
    </row>
    <row r="191" spans="1:2" x14ac:dyDescent="0.3">
      <c r="A191" s="26" t="s">
        <v>527</v>
      </c>
      <c r="B191" t="s">
        <v>550</v>
      </c>
    </row>
    <row r="192" spans="1:2" x14ac:dyDescent="0.3">
      <c r="A192" s="27" t="s">
        <v>57</v>
      </c>
      <c r="B192" s="51">
        <v>1452248</v>
      </c>
    </row>
    <row r="193" spans="1:7" x14ac:dyDescent="0.3">
      <c r="A193" s="27" t="s">
        <v>29</v>
      </c>
      <c r="B193" s="51">
        <v>159655</v>
      </c>
      <c r="G193">
        <f>GETPIVOTDATA("InterestIncomeEarned",$A$191)</f>
        <v>3628756</v>
      </c>
    </row>
    <row r="194" spans="1:7" x14ac:dyDescent="0.3">
      <c r="A194" s="27" t="s">
        <v>49</v>
      </c>
      <c r="B194" s="51">
        <v>545144</v>
      </c>
    </row>
    <row r="195" spans="1:7" x14ac:dyDescent="0.3">
      <c r="A195" s="27" t="s">
        <v>35</v>
      </c>
      <c r="B195" s="51">
        <v>584395</v>
      </c>
    </row>
    <row r="196" spans="1:7" x14ac:dyDescent="0.3">
      <c r="A196" s="27" t="s">
        <v>22</v>
      </c>
      <c r="B196" s="51">
        <v>887314</v>
      </c>
    </row>
    <row r="197" spans="1:7" x14ac:dyDescent="0.3">
      <c r="A197" s="27" t="s">
        <v>528</v>
      </c>
      <c r="B197" s="51">
        <v>3628756</v>
      </c>
    </row>
  </sheetData>
  <pageMargins left="0.7" right="0.7" top="0.75" bottom="0.75" header="0.3" footer="0.3"/>
  <pageSetup orientation="portrait" r:id="rId17"/>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AA8BF-62C1-4239-9A8E-0669686DEC26}">
  <dimension ref="A1"/>
  <sheetViews>
    <sheetView workbookViewId="0">
      <selection activeCell="B4" sqref="A2:E8"/>
    </sheetView>
  </sheetViews>
  <sheetFormatPr defaultRowHeight="14.4" x14ac:dyDescent="0.3"/>
  <cols>
    <col min="1" max="1" width="14.77734375" bestFit="1" customWidth="1"/>
    <col min="2" max="2" width="15.5546875" bestFit="1" customWidth="1"/>
    <col min="3" max="3" width="7" bestFit="1" customWidth="1"/>
    <col min="4" max="4" width="8.21875" bestFit="1" customWidth="1"/>
    <col min="5" max="5" width="10.777343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56D7E-511F-48EB-98B2-09AB1AD5EF76}">
  <dimension ref="A1:T201"/>
  <sheetViews>
    <sheetView topLeftCell="B1" zoomScale="85" zoomScaleNormal="130" workbookViewId="0">
      <selection activeCell="D22" sqref="D22"/>
    </sheetView>
  </sheetViews>
  <sheetFormatPr defaultRowHeight="14.4" x14ac:dyDescent="0.3"/>
  <cols>
    <col min="1" max="1" width="10" bestFit="1" customWidth="1"/>
    <col min="2" max="2" width="14.77734375" bestFit="1" customWidth="1"/>
    <col min="3" max="3" width="7.109375" bestFit="1" customWidth="1"/>
    <col min="4" max="4" width="21.44140625" bestFit="1" customWidth="1"/>
    <col min="5" max="5" width="11.33203125" bestFit="1" customWidth="1"/>
    <col min="6" max="6" width="16.109375" bestFit="1" customWidth="1"/>
    <col min="7" max="7" width="12.88671875" bestFit="1" customWidth="1"/>
    <col min="8" max="8" width="12.77734375" bestFit="1" customWidth="1"/>
    <col min="9" max="9" width="17.33203125" bestFit="1" customWidth="1"/>
    <col min="10" max="10" width="12.109375" bestFit="1" customWidth="1"/>
    <col min="11" max="11" width="13.6640625" bestFit="1" customWidth="1"/>
    <col min="12" max="12" width="11.6640625" bestFit="1" customWidth="1"/>
    <col min="13" max="13" width="10.88671875" bestFit="1" customWidth="1"/>
    <col min="14" max="14" width="14.44140625" bestFit="1" customWidth="1"/>
    <col min="15" max="15" width="15.33203125" bestFit="1" customWidth="1"/>
    <col min="16" max="16" width="22.6640625" bestFit="1" customWidth="1"/>
    <col min="17" max="17" width="19.5546875" bestFit="1" customWidth="1"/>
    <col min="18" max="18" width="9.5546875" customWidth="1"/>
    <col min="19" max="19" width="11" bestFit="1" customWidth="1"/>
    <col min="20" max="20" width="20.33203125" bestFit="1" customWidth="1"/>
  </cols>
  <sheetData>
    <row r="1" spans="1:20" x14ac:dyDescent="0.3">
      <c r="A1" s="10" t="s">
        <v>0</v>
      </c>
      <c r="B1" s="10" t="s">
        <v>1</v>
      </c>
      <c r="C1" s="10" t="s">
        <v>2</v>
      </c>
      <c r="D1" s="10" t="s">
        <v>3</v>
      </c>
      <c r="E1" s="10" t="s">
        <v>4</v>
      </c>
      <c r="F1" s="10" t="s">
        <v>5</v>
      </c>
      <c r="G1" s="10" t="s">
        <v>6</v>
      </c>
      <c r="H1" s="10" t="s">
        <v>543</v>
      </c>
      <c r="I1" s="10" t="s">
        <v>7</v>
      </c>
      <c r="J1" s="10" t="s">
        <v>8</v>
      </c>
      <c r="K1" s="10" t="s">
        <v>9</v>
      </c>
      <c r="L1" s="10" t="s">
        <v>10</v>
      </c>
      <c r="M1" s="10" t="s">
        <v>11</v>
      </c>
      <c r="N1" s="10" t="s">
        <v>12</v>
      </c>
      <c r="O1" s="10" t="s">
        <v>13</v>
      </c>
      <c r="P1" s="10" t="s">
        <v>14</v>
      </c>
      <c r="Q1" s="10" t="s">
        <v>15</v>
      </c>
      <c r="R1" s="10" t="s">
        <v>16</v>
      </c>
      <c r="S1" s="10" t="s">
        <v>17</v>
      </c>
      <c r="T1" s="10" t="s">
        <v>18</v>
      </c>
    </row>
    <row r="2" spans="1:20" x14ac:dyDescent="0.3">
      <c r="A2" s="2" t="s">
        <v>19</v>
      </c>
      <c r="B2" s="2" t="s">
        <v>20</v>
      </c>
      <c r="C2" s="2" t="s">
        <v>21</v>
      </c>
      <c r="D2" s="2" t="s">
        <v>22</v>
      </c>
      <c r="E2" s="2" t="s">
        <v>23</v>
      </c>
      <c r="F2" s="2" t="s">
        <v>24</v>
      </c>
      <c r="G2" s="2">
        <v>55</v>
      </c>
      <c r="H2" s="2" t="str" cm="1">
        <f t="array" ref="H2">_xlfn.IFS(G2&lt;30,"&lt;30",LoanData!G2&lt;40,"30-40",LoanData!G2&lt;50,"40-50",LoanData!G2&gt;50,"50+")</f>
        <v>50+</v>
      </c>
      <c r="I2" s="3">
        <v>45339</v>
      </c>
      <c r="J2" s="4">
        <v>989000</v>
      </c>
      <c r="K2" s="2">
        <v>24</v>
      </c>
      <c r="L2" s="5">
        <v>11.9</v>
      </c>
      <c r="M2" s="4">
        <v>46509</v>
      </c>
      <c r="N2" s="2">
        <v>5</v>
      </c>
      <c r="O2" s="2">
        <v>5</v>
      </c>
      <c r="P2" s="4">
        <v>232545</v>
      </c>
      <c r="Q2" s="4">
        <v>801815</v>
      </c>
      <c r="R2" s="2">
        <v>0</v>
      </c>
      <c r="S2" s="2" t="s">
        <v>25</v>
      </c>
      <c r="T2" s="4">
        <v>45360</v>
      </c>
    </row>
    <row r="3" spans="1:20" x14ac:dyDescent="0.3">
      <c r="A3" s="6" t="s">
        <v>26</v>
      </c>
      <c r="B3" s="6" t="s">
        <v>27</v>
      </c>
      <c r="C3" s="6" t="s">
        <v>28</v>
      </c>
      <c r="D3" s="6" t="s">
        <v>29</v>
      </c>
      <c r="E3" s="6" t="s">
        <v>30</v>
      </c>
      <c r="F3" s="6" t="s">
        <v>31</v>
      </c>
      <c r="G3" s="6">
        <v>37</v>
      </c>
      <c r="H3" s="2" t="str" cm="1">
        <f t="array" ref="H3">_xlfn.IFS(G3&lt;30,"&lt;30",LoanData!G3&lt;40,"30-40",LoanData!G3&lt;50,"40-50",LoanData!G3&gt;50,"50+")</f>
        <v>30-40</v>
      </c>
      <c r="I3" s="7">
        <v>45445</v>
      </c>
      <c r="J3" s="8">
        <v>281000</v>
      </c>
      <c r="K3" s="6">
        <v>6</v>
      </c>
      <c r="L3" s="9">
        <v>10.3</v>
      </c>
      <c r="M3" s="8">
        <v>48250</v>
      </c>
      <c r="N3" s="6">
        <v>1</v>
      </c>
      <c r="O3" s="6">
        <v>1</v>
      </c>
      <c r="P3" s="8">
        <v>48250</v>
      </c>
      <c r="Q3" s="8">
        <v>235162</v>
      </c>
      <c r="R3" s="6">
        <v>0</v>
      </c>
      <c r="S3" s="6" t="s">
        <v>25</v>
      </c>
      <c r="T3" s="8">
        <v>2412</v>
      </c>
    </row>
    <row r="4" spans="1:20" x14ac:dyDescent="0.3">
      <c r="A4" s="2" t="s">
        <v>32</v>
      </c>
      <c r="B4" s="2" t="s">
        <v>33</v>
      </c>
      <c r="C4" s="2" t="s">
        <v>34</v>
      </c>
      <c r="D4" s="2" t="s">
        <v>35</v>
      </c>
      <c r="E4" s="2" t="s">
        <v>36</v>
      </c>
      <c r="F4" s="2" t="s">
        <v>31</v>
      </c>
      <c r="G4" s="2">
        <v>46</v>
      </c>
      <c r="H4" s="2" t="str" cm="1">
        <f t="array" ref="H4">_xlfn.IFS(G4&lt;30,"&lt;30",LoanData!G4&lt;40,"30-40",LoanData!G4&lt;50,"40-50",LoanData!G4&gt;50,"50+")</f>
        <v>40-50</v>
      </c>
      <c r="I4" s="3">
        <v>45296</v>
      </c>
      <c r="J4" s="4">
        <v>481000</v>
      </c>
      <c r="K4" s="2">
        <v>36</v>
      </c>
      <c r="L4" s="5">
        <v>16.2</v>
      </c>
      <c r="M4" s="4">
        <v>16958</v>
      </c>
      <c r="N4" s="2">
        <v>6</v>
      </c>
      <c r="O4" s="2">
        <v>6</v>
      </c>
      <c r="P4" s="4">
        <v>101748</v>
      </c>
      <c r="Q4" s="4">
        <v>416055</v>
      </c>
      <c r="R4" s="2">
        <v>0</v>
      </c>
      <c r="S4" s="2" t="s">
        <v>25</v>
      </c>
      <c r="T4" s="4">
        <v>36803</v>
      </c>
    </row>
    <row r="5" spans="1:20" x14ac:dyDescent="0.3">
      <c r="A5" s="6" t="s">
        <v>37</v>
      </c>
      <c r="B5" s="6" t="s">
        <v>27</v>
      </c>
      <c r="C5" s="6" t="s">
        <v>28</v>
      </c>
      <c r="D5" s="6" t="s">
        <v>35</v>
      </c>
      <c r="E5" s="6" t="s">
        <v>38</v>
      </c>
      <c r="F5" s="6" t="s">
        <v>24</v>
      </c>
      <c r="G5" s="6">
        <v>54</v>
      </c>
      <c r="H5" s="2" t="str" cm="1">
        <f t="array" ref="H5">_xlfn.IFS(G5&lt;30,"&lt;30",LoanData!G5&lt;40,"30-40",LoanData!G5&lt;50,"40-50",LoanData!G5&gt;50,"50+")</f>
        <v>50+</v>
      </c>
      <c r="I5" s="7">
        <v>45328</v>
      </c>
      <c r="J5" s="8">
        <v>254000</v>
      </c>
      <c r="K5" s="6">
        <v>24</v>
      </c>
      <c r="L5" s="9">
        <v>16.2</v>
      </c>
      <c r="M5" s="8">
        <v>12461</v>
      </c>
      <c r="N5" s="6">
        <v>5</v>
      </c>
      <c r="O5" s="6">
        <v>5</v>
      </c>
      <c r="P5" s="8">
        <v>62305</v>
      </c>
      <c r="Q5" s="8">
        <v>207605</v>
      </c>
      <c r="R5" s="6">
        <v>0</v>
      </c>
      <c r="S5" s="6" t="s">
        <v>25</v>
      </c>
      <c r="T5" s="8">
        <v>15910</v>
      </c>
    </row>
    <row r="6" spans="1:20" x14ac:dyDescent="0.3">
      <c r="A6" s="2" t="s">
        <v>39</v>
      </c>
      <c r="B6" s="2" t="s">
        <v>40</v>
      </c>
      <c r="C6" s="2" t="s">
        <v>34</v>
      </c>
      <c r="D6" s="2" t="s">
        <v>35</v>
      </c>
      <c r="E6" s="2" t="s">
        <v>41</v>
      </c>
      <c r="F6" s="2" t="s">
        <v>42</v>
      </c>
      <c r="G6" s="2">
        <v>27</v>
      </c>
      <c r="H6" s="2" t="str" cm="1">
        <f t="array" ref="H6">_xlfn.IFS(G6&lt;30,"&lt;30",LoanData!G6&lt;40,"30-40",LoanData!G6&lt;50,"40-50",LoanData!G6&gt;50,"50+")</f>
        <v>&lt;30</v>
      </c>
      <c r="I6" s="3">
        <v>45309</v>
      </c>
      <c r="J6" s="4">
        <v>401000</v>
      </c>
      <c r="K6" s="2">
        <v>36</v>
      </c>
      <c r="L6" s="5">
        <v>14.8</v>
      </c>
      <c r="M6" s="4">
        <v>13862</v>
      </c>
      <c r="N6" s="2">
        <v>6</v>
      </c>
      <c r="O6" s="2">
        <v>6</v>
      </c>
      <c r="P6" s="4">
        <v>83172</v>
      </c>
      <c r="Q6" s="4">
        <v>345828</v>
      </c>
      <c r="R6" s="2">
        <v>0</v>
      </c>
      <c r="S6" s="2" t="s">
        <v>25</v>
      </c>
      <c r="T6" s="4">
        <v>28000</v>
      </c>
    </row>
    <row r="7" spans="1:20" x14ac:dyDescent="0.3">
      <c r="A7" s="6" t="s">
        <v>43</v>
      </c>
      <c r="B7" s="6" t="s">
        <v>40</v>
      </c>
      <c r="C7" s="6" t="s">
        <v>34</v>
      </c>
      <c r="D7" s="6" t="s">
        <v>29</v>
      </c>
      <c r="E7" s="6" t="s">
        <v>44</v>
      </c>
      <c r="F7" s="6" t="s">
        <v>24</v>
      </c>
      <c r="G7" s="6">
        <v>46</v>
      </c>
      <c r="H7" s="2" t="str" cm="1">
        <f t="array" ref="H7">_xlfn.IFS(G7&lt;30,"&lt;30",LoanData!G7&lt;40,"30-40",LoanData!G7&lt;50,"40-50",LoanData!G7&gt;50,"50+")</f>
        <v>40-50</v>
      </c>
      <c r="I7" s="7">
        <v>45399</v>
      </c>
      <c r="J7" s="8">
        <v>278000</v>
      </c>
      <c r="K7" s="6">
        <v>12</v>
      </c>
      <c r="L7" s="9">
        <v>11.7</v>
      </c>
      <c r="M7" s="8">
        <v>24661</v>
      </c>
      <c r="N7" s="6">
        <v>3</v>
      </c>
      <c r="O7" s="6">
        <v>3</v>
      </c>
      <c r="P7" s="8">
        <v>73983</v>
      </c>
      <c r="Q7" s="8">
        <v>211504</v>
      </c>
      <c r="R7" s="6">
        <v>0</v>
      </c>
      <c r="S7" s="6" t="s">
        <v>25</v>
      </c>
      <c r="T7" s="8">
        <v>7487</v>
      </c>
    </row>
    <row r="8" spans="1:20" x14ac:dyDescent="0.3">
      <c r="A8" s="2" t="s">
        <v>45</v>
      </c>
      <c r="B8" s="2" t="s">
        <v>33</v>
      </c>
      <c r="C8" s="2" t="s">
        <v>34</v>
      </c>
      <c r="D8" s="2" t="s">
        <v>29</v>
      </c>
      <c r="E8" s="2" t="s">
        <v>46</v>
      </c>
      <c r="F8" s="2" t="s">
        <v>42</v>
      </c>
      <c r="G8" s="2">
        <v>54</v>
      </c>
      <c r="H8" s="2" t="str" cm="1">
        <f t="array" ref="H8">_xlfn.IFS(G8&lt;30,"&lt;30",LoanData!G8&lt;40,"30-40",LoanData!G8&lt;50,"40-50",LoanData!G8&gt;50,"50+")</f>
        <v>50+</v>
      </c>
      <c r="I8" s="3">
        <v>45307</v>
      </c>
      <c r="J8" s="4">
        <v>28000</v>
      </c>
      <c r="K8" s="2">
        <v>24</v>
      </c>
      <c r="L8" s="5">
        <v>9.3000000000000007</v>
      </c>
      <c r="M8" s="4">
        <v>1283</v>
      </c>
      <c r="N8" s="2">
        <v>6</v>
      </c>
      <c r="O8" s="2">
        <v>3</v>
      </c>
      <c r="P8" s="4">
        <v>3849</v>
      </c>
      <c r="Q8" s="4">
        <v>24777</v>
      </c>
      <c r="R8" s="2">
        <v>77</v>
      </c>
      <c r="S8" s="2" t="s">
        <v>47</v>
      </c>
      <c r="T8" s="4">
        <v>626</v>
      </c>
    </row>
    <row r="9" spans="1:20" x14ac:dyDescent="0.3">
      <c r="A9" s="6" t="s">
        <v>48</v>
      </c>
      <c r="B9" s="6" t="s">
        <v>20</v>
      </c>
      <c r="C9" s="6" t="s">
        <v>21</v>
      </c>
      <c r="D9" s="6" t="s">
        <v>49</v>
      </c>
      <c r="E9" s="6" t="s">
        <v>50</v>
      </c>
      <c r="F9" s="6" t="s">
        <v>42</v>
      </c>
      <c r="G9" s="6">
        <v>45</v>
      </c>
      <c r="H9" s="2" t="str" cm="1">
        <f t="array" ref="H9">_xlfn.IFS(G9&lt;30,"&lt;30",LoanData!G9&lt;40,"30-40",LoanData!G9&lt;50,"40-50",LoanData!G9&gt;50,"50+")</f>
        <v>40-50</v>
      </c>
      <c r="I9" s="7">
        <v>45363</v>
      </c>
      <c r="J9" s="8">
        <v>785000</v>
      </c>
      <c r="K9" s="6">
        <v>36</v>
      </c>
      <c r="L9" s="9">
        <v>11.5</v>
      </c>
      <c r="M9" s="8">
        <v>25886</v>
      </c>
      <c r="N9" s="6">
        <v>4</v>
      </c>
      <c r="O9" s="6">
        <v>4</v>
      </c>
      <c r="P9" s="8">
        <v>103544</v>
      </c>
      <c r="Q9" s="8">
        <v>710484</v>
      </c>
      <c r="R9" s="6">
        <v>0</v>
      </c>
      <c r="S9" s="6" t="s">
        <v>25</v>
      </c>
      <c r="T9" s="8">
        <v>29028</v>
      </c>
    </row>
    <row r="10" spans="1:20" x14ac:dyDescent="0.3">
      <c r="A10" s="2" t="s">
        <v>51</v>
      </c>
      <c r="B10" s="2" t="s">
        <v>52</v>
      </c>
      <c r="C10" s="2" t="s">
        <v>53</v>
      </c>
      <c r="D10" s="2" t="s">
        <v>35</v>
      </c>
      <c r="E10" s="2" t="s">
        <v>54</v>
      </c>
      <c r="F10" s="2" t="s">
        <v>24</v>
      </c>
      <c r="G10" s="2">
        <v>46</v>
      </c>
      <c r="H10" s="2" t="str" cm="1">
        <f t="array" ref="H10">_xlfn.IFS(G10&lt;30,"&lt;30",LoanData!G10&lt;40,"30-40",LoanData!G10&lt;50,"40-50",LoanData!G10&gt;50,"50+")</f>
        <v>40-50</v>
      </c>
      <c r="I10" s="3">
        <v>45344</v>
      </c>
      <c r="J10" s="4">
        <v>126000</v>
      </c>
      <c r="K10" s="2">
        <v>12</v>
      </c>
      <c r="L10" s="5">
        <v>17.7</v>
      </c>
      <c r="M10" s="4">
        <v>11534</v>
      </c>
      <c r="N10" s="2">
        <v>5</v>
      </c>
      <c r="O10" s="2">
        <v>0</v>
      </c>
      <c r="P10" s="4">
        <v>0</v>
      </c>
      <c r="Q10" s="4">
        <v>126000</v>
      </c>
      <c r="R10" s="2">
        <v>224</v>
      </c>
      <c r="S10" s="2" t="s">
        <v>55</v>
      </c>
      <c r="T10" s="4">
        <v>0</v>
      </c>
    </row>
    <row r="11" spans="1:20" x14ac:dyDescent="0.3">
      <c r="A11" s="6" t="s">
        <v>56</v>
      </c>
      <c r="B11" s="6" t="s">
        <v>20</v>
      </c>
      <c r="C11" s="6" t="s">
        <v>21</v>
      </c>
      <c r="D11" s="6" t="s">
        <v>57</v>
      </c>
      <c r="E11" s="6" t="s">
        <v>58</v>
      </c>
      <c r="F11" s="6" t="s">
        <v>24</v>
      </c>
      <c r="G11" s="6">
        <v>55</v>
      </c>
      <c r="H11" s="2" t="str" cm="1">
        <f t="array" ref="H11">_xlfn.IFS(G11&lt;30,"&lt;30",LoanData!G11&lt;40,"30-40",LoanData!G11&lt;50,"40-50",LoanData!G11&gt;50,"50+")</f>
        <v>50+</v>
      </c>
      <c r="I11" s="7">
        <v>45404</v>
      </c>
      <c r="J11" s="8">
        <v>1931000</v>
      </c>
      <c r="K11" s="6">
        <v>48</v>
      </c>
      <c r="L11" s="9">
        <v>14.4</v>
      </c>
      <c r="M11" s="8">
        <v>53156</v>
      </c>
      <c r="N11" s="6">
        <v>3</v>
      </c>
      <c r="O11" s="6">
        <v>2</v>
      </c>
      <c r="P11" s="8">
        <v>106312</v>
      </c>
      <c r="Q11" s="8">
        <v>1870673</v>
      </c>
      <c r="R11" s="6">
        <v>32</v>
      </c>
      <c r="S11" s="6" t="s">
        <v>47</v>
      </c>
      <c r="T11" s="8">
        <v>45985</v>
      </c>
    </row>
    <row r="12" spans="1:20" x14ac:dyDescent="0.3">
      <c r="A12" s="2" t="s">
        <v>59</v>
      </c>
      <c r="B12" s="2" t="s">
        <v>60</v>
      </c>
      <c r="C12" s="2" t="s">
        <v>21</v>
      </c>
      <c r="D12" s="2" t="s">
        <v>22</v>
      </c>
      <c r="E12" s="2" t="s">
        <v>61</v>
      </c>
      <c r="F12" s="2" t="s">
        <v>31</v>
      </c>
      <c r="G12" s="2">
        <v>41</v>
      </c>
      <c r="H12" s="2" t="str" cm="1">
        <f t="array" ref="H12">_xlfn.IFS(G12&lt;30,"&lt;30",LoanData!G12&lt;40,"30-40",LoanData!G12&lt;50,"40-50",LoanData!G12&gt;50,"50+")</f>
        <v>40-50</v>
      </c>
      <c r="I12" s="3">
        <v>45319</v>
      </c>
      <c r="J12" s="4">
        <v>1227000</v>
      </c>
      <c r="K12" s="2">
        <v>36</v>
      </c>
      <c r="L12" s="5">
        <v>13.1</v>
      </c>
      <c r="M12" s="4">
        <v>41402</v>
      </c>
      <c r="N12" s="2">
        <v>6</v>
      </c>
      <c r="O12" s="2">
        <v>6</v>
      </c>
      <c r="P12" s="4">
        <v>248412</v>
      </c>
      <c r="Q12" s="4">
        <v>1054305</v>
      </c>
      <c r="R12" s="2">
        <v>0</v>
      </c>
      <c r="S12" s="2" t="s">
        <v>25</v>
      </c>
      <c r="T12" s="4">
        <v>75717</v>
      </c>
    </row>
    <row r="13" spans="1:20" x14ac:dyDescent="0.3">
      <c r="A13" s="6" t="s">
        <v>62</v>
      </c>
      <c r="B13" s="6" t="s">
        <v>52</v>
      </c>
      <c r="C13" s="6" t="s">
        <v>53</v>
      </c>
      <c r="D13" s="6" t="s">
        <v>22</v>
      </c>
      <c r="E13" s="6" t="s">
        <v>63</v>
      </c>
      <c r="F13" s="6" t="s">
        <v>42</v>
      </c>
      <c r="G13" s="6">
        <v>32</v>
      </c>
      <c r="H13" s="2" t="str" cm="1">
        <f t="array" ref="H13">_xlfn.IFS(G13&lt;30,"&lt;30",LoanData!G13&lt;40,"30-40",LoanData!G13&lt;50,"40-50",LoanData!G13&gt;50,"50+")</f>
        <v>30-40</v>
      </c>
      <c r="I13" s="7">
        <v>45346</v>
      </c>
      <c r="J13" s="8">
        <v>448000</v>
      </c>
      <c r="K13" s="6">
        <v>36</v>
      </c>
      <c r="L13" s="9">
        <v>11.6</v>
      </c>
      <c r="M13" s="8">
        <v>14795</v>
      </c>
      <c r="N13" s="6">
        <v>5</v>
      </c>
      <c r="O13" s="6">
        <v>5</v>
      </c>
      <c r="P13" s="8">
        <v>73975</v>
      </c>
      <c r="Q13" s="8">
        <v>394659</v>
      </c>
      <c r="R13" s="6">
        <v>0</v>
      </c>
      <c r="S13" s="6" t="s">
        <v>25</v>
      </c>
      <c r="T13" s="8">
        <v>20634</v>
      </c>
    </row>
    <row r="14" spans="1:20" x14ac:dyDescent="0.3">
      <c r="A14" s="2" t="s">
        <v>64</v>
      </c>
      <c r="B14" s="2" t="s">
        <v>65</v>
      </c>
      <c r="C14" s="2" t="s">
        <v>28</v>
      </c>
      <c r="D14" s="2" t="s">
        <v>57</v>
      </c>
      <c r="E14" s="2" t="s">
        <v>66</v>
      </c>
      <c r="F14" s="2" t="s">
        <v>31</v>
      </c>
      <c r="G14" s="2">
        <v>36</v>
      </c>
      <c r="H14" s="2" t="str" cm="1">
        <f t="array" ref="H14">_xlfn.IFS(G14&lt;30,"&lt;30",LoanData!G14&lt;40,"30-40",LoanData!G14&lt;50,"40-50",LoanData!G14&gt;50,"50+")</f>
        <v>30-40</v>
      </c>
      <c r="I14" s="3">
        <v>45377</v>
      </c>
      <c r="J14" s="4">
        <v>1926000</v>
      </c>
      <c r="K14" s="2">
        <v>60</v>
      </c>
      <c r="L14" s="5">
        <v>14.1</v>
      </c>
      <c r="M14" s="4">
        <v>44915</v>
      </c>
      <c r="N14" s="2">
        <v>4</v>
      </c>
      <c r="O14" s="2">
        <v>2</v>
      </c>
      <c r="P14" s="4">
        <v>89830</v>
      </c>
      <c r="Q14" s="4">
        <v>1881170</v>
      </c>
      <c r="R14" s="2">
        <v>48</v>
      </c>
      <c r="S14" s="2" t="s">
        <v>47</v>
      </c>
      <c r="T14" s="4">
        <v>45000</v>
      </c>
    </row>
    <row r="15" spans="1:20" x14ac:dyDescent="0.3">
      <c r="A15" s="6" t="s">
        <v>67</v>
      </c>
      <c r="B15" s="6" t="s">
        <v>33</v>
      </c>
      <c r="C15" s="6" t="s">
        <v>34</v>
      </c>
      <c r="D15" s="6" t="s">
        <v>49</v>
      </c>
      <c r="E15" s="6" t="s">
        <v>68</v>
      </c>
      <c r="F15" s="6" t="s">
        <v>42</v>
      </c>
      <c r="G15" s="6">
        <v>40</v>
      </c>
      <c r="H15" s="2" t="str" cm="1">
        <f t="array" ref="H15">_xlfn.IFS(G15&lt;30,"&lt;30",LoanData!G15&lt;40,"30-40",LoanData!G15&lt;50,"40-50",LoanData!G15&gt;50,"50+")</f>
        <v>40-50</v>
      </c>
      <c r="I15" s="7">
        <v>45347</v>
      </c>
      <c r="J15" s="8">
        <v>727000</v>
      </c>
      <c r="K15" s="6">
        <v>36</v>
      </c>
      <c r="L15" s="9">
        <v>12.9</v>
      </c>
      <c r="M15" s="8">
        <v>24461</v>
      </c>
      <c r="N15" s="6">
        <v>5</v>
      </c>
      <c r="O15" s="6">
        <v>5</v>
      </c>
      <c r="P15" s="8">
        <v>122305</v>
      </c>
      <c r="Q15" s="8">
        <v>641965</v>
      </c>
      <c r="R15" s="6">
        <v>0</v>
      </c>
      <c r="S15" s="6" t="s">
        <v>25</v>
      </c>
      <c r="T15" s="8">
        <v>37270</v>
      </c>
    </row>
    <row r="16" spans="1:20" x14ac:dyDescent="0.3">
      <c r="A16" s="2" t="s">
        <v>69</v>
      </c>
      <c r="B16" s="2" t="s">
        <v>40</v>
      </c>
      <c r="C16" s="2" t="s">
        <v>34</v>
      </c>
      <c r="D16" s="2" t="s">
        <v>35</v>
      </c>
      <c r="E16" s="2" t="s">
        <v>70</v>
      </c>
      <c r="F16" s="2" t="s">
        <v>42</v>
      </c>
      <c r="G16" s="2">
        <v>49</v>
      </c>
      <c r="H16" s="2" t="str" cm="1">
        <f t="array" ref="H16">_xlfn.IFS(G16&lt;30,"&lt;30",LoanData!G16&lt;40,"30-40",LoanData!G16&lt;50,"40-50",LoanData!G16&gt;50,"50+")</f>
        <v>40-50</v>
      </c>
      <c r="I16" s="3">
        <v>45373</v>
      </c>
      <c r="J16" s="4">
        <v>169000</v>
      </c>
      <c r="K16" s="2">
        <v>12</v>
      </c>
      <c r="L16" s="5">
        <v>15.3</v>
      </c>
      <c r="M16" s="4">
        <v>15278</v>
      </c>
      <c r="N16" s="2">
        <v>4</v>
      </c>
      <c r="O16" s="2">
        <v>4</v>
      </c>
      <c r="P16" s="4">
        <v>61112</v>
      </c>
      <c r="Q16" s="4">
        <v>115496</v>
      </c>
      <c r="R16" s="2">
        <v>0</v>
      </c>
      <c r="S16" s="2" t="s">
        <v>25</v>
      </c>
      <c r="T16" s="4">
        <v>7608</v>
      </c>
    </row>
    <row r="17" spans="1:20" x14ac:dyDescent="0.3">
      <c r="A17" s="6" t="s">
        <v>71</v>
      </c>
      <c r="B17" s="6" t="s">
        <v>60</v>
      </c>
      <c r="C17" s="6" t="s">
        <v>21</v>
      </c>
      <c r="D17" s="6" t="s">
        <v>57</v>
      </c>
      <c r="E17" s="6" t="s">
        <v>72</v>
      </c>
      <c r="F17" s="6" t="s">
        <v>42</v>
      </c>
      <c r="G17" s="6">
        <v>51</v>
      </c>
      <c r="H17" s="2" t="str" cm="1">
        <f t="array" ref="H17">_xlfn.IFS(G17&lt;30,"&lt;30",LoanData!G17&lt;40,"30-40",LoanData!G17&lt;50,"40-50",LoanData!G17&gt;50,"50+")</f>
        <v>50+</v>
      </c>
      <c r="I17" s="7">
        <v>45325</v>
      </c>
      <c r="J17" s="8">
        <v>371000</v>
      </c>
      <c r="K17" s="6">
        <v>24</v>
      </c>
      <c r="L17" s="9">
        <v>12.4</v>
      </c>
      <c r="M17" s="8">
        <v>17534</v>
      </c>
      <c r="N17" s="6">
        <v>5</v>
      </c>
      <c r="O17" s="6">
        <v>5</v>
      </c>
      <c r="P17" s="8">
        <v>87670</v>
      </c>
      <c r="Q17" s="8">
        <v>301070</v>
      </c>
      <c r="R17" s="6">
        <v>0</v>
      </c>
      <c r="S17" s="6" t="s">
        <v>25</v>
      </c>
      <c r="T17" s="8">
        <v>17740</v>
      </c>
    </row>
    <row r="18" spans="1:20" x14ac:dyDescent="0.3">
      <c r="A18" s="2" t="s">
        <v>73</v>
      </c>
      <c r="B18" s="2" t="s">
        <v>52</v>
      </c>
      <c r="C18" s="2" t="s">
        <v>53</v>
      </c>
      <c r="D18" s="2" t="s">
        <v>29</v>
      </c>
      <c r="E18" s="2" t="s">
        <v>74</v>
      </c>
      <c r="F18" s="2" t="s">
        <v>31</v>
      </c>
      <c r="G18" s="2">
        <v>33</v>
      </c>
      <c r="H18" s="2" t="str" cm="1">
        <f t="array" ref="H18">_xlfn.IFS(G18&lt;30,"&lt;30",LoanData!G18&lt;40,"30-40",LoanData!G18&lt;50,"40-50",LoanData!G18&gt;50,"50+")</f>
        <v>30-40</v>
      </c>
      <c r="I18" s="3">
        <v>45328</v>
      </c>
      <c r="J18" s="4">
        <v>171000</v>
      </c>
      <c r="K18" s="2">
        <v>12</v>
      </c>
      <c r="L18" s="5">
        <v>10</v>
      </c>
      <c r="M18" s="4">
        <v>15034</v>
      </c>
      <c r="N18" s="2">
        <v>5</v>
      </c>
      <c r="O18" s="2">
        <v>5</v>
      </c>
      <c r="P18" s="4">
        <v>75170</v>
      </c>
      <c r="Q18" s="4">
        <v>101813</v>
      </c>
      <c r="R18" s="2">
        <v>0</v>
      </c>
      <c r="S18" s="2" t="s">
        <v>25</v>
      </c>
      <c r="T18" s="4">
        <v>5983</v>
      </c>
    </row>
    <row r="19" spans="1:20" x14ac:dyDescent="0.3">
      <c r="A19" s="6" t="s">
        <v>75</v>
      </c>
      <c r="B19" s="6" t="s">
        <v>60</v>
      </c>
      <c r="C19" s="6" t="s">
        <v>21</v>
      </c>
      <c r="D19" s="6" t="s">
        <v>49</v>
      </c>
      <c r="E19" s="6" t="s">
        <v>76</v>
      </c>
      <c r="F19" s="6" t="s">
        <v>31</v>
      </c>
      <c r="G19" s="6">
        <v>47</v>
      </c>
      <c r="H19" s="2" t="str" cm="1">
        <f t="array" ref="H19">_xlfn.IFS(G19&lt;30,"&lt;30",LoanData!G19&lt;40,"30-40",LoanData!G19&lt;50,"40-50",LoanData!G19&gt;50,"50+")</f>
        <v>40-50</v>
      </c>
      <c r="I19" s="7">
        <v>45410</v>
      </c>
      <c r="J19" s="8">
        <v>583000</v>
      </c>
      <c r="K19" s="6">
        <v>24</v>
      </c>
      <c r="L19" s="9">
        <v>14.5</v>
      </c>
      <c r="M19" s="8">
        <v>28129</v>
      </c>
      <c r="N19" s="6">
        <v>3</v>
      </c>
      <c r="O19" s="6">
        <v>0</v>
      </c>
      <c r="P19" s="8">
        <v>0</v>
      </c>
      <c r="Q19" s="8">
        <v>583000</v>
      </c>
      <c r="R19" s="6">
        <v>236</v>
      </c>
      <c r="S19" s="6" t="s">
        <v>55</v>
      </c>
      <c r="T19" s="8">
        <v>0</v>
      </c>
    </row>
    <row r="20" spans="1:20" x14ac:dyDescent="0.3">
      <c r="A20" s="2" t="s">
        <v>77</v>
      </c>
      <c r="B20" s="2" t="s">
        <v>60</v>
      </c>
      <c r="C20" s="2" t="s">
        <v>21</v>
      </c>
      <c r="D20" s="2" t="s">
        <v>29</v>
      </c>
      <c r="E20" s="2" t="s">
        <v>78</v>
      </c>
      <c r="F20" s="2" t="s">
        <v>31</v>
      </c>
      <c r="G20" s="2">
        <v>38</v>
      </c>
      <c r="H20" s="2" t="str" cm="1">
        <f t="array" ref="H20">_xlfn.IFS(G20&lt;30,"&lt;30",LoanData!G20&lt;40,"30-40",LoanData!G20&lt;50,"40-50",LoanData!G20&gt;50,"50+")</f>
        <v>30-40</v>
      </c>
      <c r="I20" s="3">
        <v>45387</v>
      </c>
      <c r="J20" s="4">
        <v>290000</v>
      </c>
      <c r="K20" s="2">
        <v>24</v>
      </c>
      <c r="L20" s="5">
        <v>10.8</v>
      </c>
      <c r="M20" s="4">
        <v>13489</v>
      </c>
      <c r="N20" s="2">
        <v>3</v>
      </c>
      <c r="O20" s="2">
        <v>3</v>
      </c>
      <c r="P20" s="4">
        <v>40467</v>
      </c>
      <c r="Q20" s="4">
        <v>257067</v>
      </c>
      <c r="R20" s="2">
        <v>0</v>
      </c>
      <c r="S20" s="2" t="s">
        <v>25</v>
      </c>
      <c r="T20" s="4">
        <v>7534</v>
      </c>
    </row>
    <row r="21" spans="1:20" x14ac:dyDescent="0.3">
      <c r="A21" s="6" t="s">
        <v>79</v>
      </c>
      <c r="B21" s="6" t="s">
        <v>80</v>
      </c>
      <c r="C21" s="6" t="s">
        <v>53</v>
      </c>
      <c r="D21" s="6" t="s">
        <v>49</v>
      </c>
      <c r="E21" s="6" t="s">
        <v>81</v>
      </c>
      <c r="F21" s="6" t="s">
        <v>42</v>
      </c>
      <c r="G21" s="6">
        <v>42</v>
      </c>
      <c r="H21" s="2" t="str" cm="1">
        <f t="array" ref="H21">_xlfn.IFS(G21&lt;30,"&lt;30",LoanData!G21&lt;40,"30-40",LoanData!G21&lt;50,"40-50",LoanData!G21&gt;50,"50+")</f>
        <v>40-50</v>
      </c>
      <c r="I21" s="7">
        <v>45374</v>
      </c>
      <c r="J21" s="8">
        <v>124000</v>
      </c>
      <c r="K21" s="6">
        <v>48</v>
      </c>
      <c r="L21" s="9">
        <v>13.4</v>
      </c>
      <c r="M21" s="8">
        <v>3351</v>
      </c>
      <c r="N21" s="6">
        <v>4</v>
      </c>
      <c r="O21" s="6">
        <v>4</v>
      </c>
      <c r="P21" s="8">
        <v>13404</v>
      </c>
      <c r="Q21" s="8">
        <v>116001</v>
      </c>
      <c r="R21" s="6">
        <v>0</v>
      </c>
      <c r="S21" s="6" t="s">
        <v>25</v>
      </c>
      <c r="T21" s="8">
        <v>5405</v>
      </c>
    </row>
    <row r="22" spans="1:20" x14ac:dyDescent="0.3">
      <c r="A22" s="2" t="s">
        <v>82</v>
      </c>
      <c r="B22" s="2" t="s">
        <v>60</v>
      </c>
      <c r="C22" s="2" t="s">
        <v>21</v>
      </c>
      <c r="D22" s="2" t="s">
        <v>49</v>
      </c>
      <c r="E22" s="2" t="s">
        <v>83</v>
      </c>
      <c r="F22" s="2" t="s">
        <v>31</v>
      </c>
      <c r="G22" s="2">
        <v>43</v>
      </c>
      <c r="H22" s="2" t="str" cm="1">
        <f t="array" ref="H22">_xlfn.IFS(G22&lt;30,"&lt;30",LoanData!G22&lt;40,"30-40",LoanData!G22&lt;50,"40-50",LoanData!G22&gt;50,"50+")</f>
        <v>40-50</v>
      </c>
      <c r="I22" s="3">
        <v>45457</v>
      </c>
      <c r="J22" s="4">
        <v>661000</v>
      </c>
      <c r="K22" s="2">
        <v>48</v>
      </c>
      <c r="L22" s="5">
        <v>14.9</v>
      </c>
      <c r="M22" s="4">
        <v>18363</v>
      </c>
      <c r="N22" s="2">
        <v>1</v>
      </c>
      <c r="O22" s="2">
        <v>0</v>
      </c>
      <c r="P22" s="4">
        <v>0</v>
      </c>
      <c r="Q22" s="4">
        <v>661000</v>
      </c>
      <c r="R22" s="2">
        <v>10</v>
      </c>
      <c r="S22" s="2" t="s">
        <v>47</v>
      </c>
      <c r="T22" s="4">
        <v>0</v>
      </c>
    </row>
    <row r="23" spans="1:20" x14ac:dyDescent="0.3">
      <c r="A23" s="6" t="s">
        <v>84</v>
      </c>
      <c r="B23" s="6" t="s">
        <v>65</v>
      </c>
      <c r="C23" s="6" t="s">
        <v>28</v>
      </c>
      <c r="D23" s="6" t="s">
        <v>49</v>
      </c>
      <c r="E23" s="6" t="s">
        <v>85</v>
      </c>
      <c r="F23" s="6" t="s">
        <v>24</v>
      </c>
      <c r="G23" s="6">
        <v>56</v>
      </c>
      <c r="H23" s="2" t="str" cm="1">
        <f t="array" ref="H23">_xlfn.IFS(G23&lt;30,"&lt;30",LoanData!G23&lt;40,"30-40",LoanData!G23&lt;50,"40-50",LoanData!G23&gt;50,"50+")</f>
        <v>50+</v>
      </c>
      <c r="I23" s="7">
        <v>45425</v>
      </c>
      <c r="J23" s="8">
        <v>516000</v>
      </c>
      <c r="K23" s="6">
        <v>60</v>
      </c>
      <c r="L23" s="9">
        <v>11.1</v>
      </c>
      <c r="M23" s="8">
        <v>11245</v>
      </c>
      <c r="N23" s="6">
        <v>2</v>
      </c>
      <c r="O23" s="6">
        <v>2</v>
      </c>
      <c r="P23" s="8">
        <v>22490</v>
      </c>
      <c r="Q23" s="8">
        <v>502996</v>
      </c>
      <c r="R23" s="6">
        <v>0</v>
      </c>
      <c r="S23" s="6" t="s">
        <v>25</v>
      </c>
      <c r="T23" s="8">
        <v>9486</v>
      </c>
    </row>
    <row r="24" spans="1:20" x14ac:dyDescent="0.3">
      <c r="A24" s="2" t="s">
        <v>86</v>
      </c>
      <c r="B24" s="2" t="s">
        <v>27</v>
      </c>
      <c r="C24" s="2" t="s">
        <v>28</v>
      </c>
      <c r="D24" s="2" t="s">
        <v>35</v>
      </c>
      <c r="E24" s="2" t="s">
        <v>87</v>
      </c>
      <c r="F24" s="2" t="s">
        <v>24</v>
      </c>
      <c r="G24" s="2">
        <v>48</v>
      </c>
      <c r="H24" s="2" t="str" cm="1">
        <f t="array" ref="H24">_xlfn.IFS(G24&lt;30,"&lt;30",LoanData!G24&lt;40,"30-40",LoanData!G24&lt;50,"40-50",LoanData!G24&gt;50,"50+")</f>
        <v>40-50</v>
      </c>
      <c r="I24" s="3">
        <v>45457</v>
      </c>
      <c r="J24" s="4">
        <v>72000</v>
      </c>
      <c r="K24" s="2">
        <v>12</v>
      </c>
      <c r="L24" s="5">
        <v>15.7</v>
      </c>
      <c r="M24" s="4">
        <v>6522</v>
      </c>
      <c r="N24" s="2">
        <v>1</v>
      </c>
      <c r="O24" s="2">
        <v>1</v>
      </c>
      <c r="P24" s="4">
        <v>6522</v>
      </c>
      <c r="Q24" s="4">
        <v>66420</v>
      </c>
      <c r="R24" s="2">
        <v>0</v>
      </c>
      <c r="S24" s="2" t="s">
        <v>25</v>
      </c>
      <c r="T24" s="4">
        <v>942</v>
      </c>
    </row>
    <row r="25" spans="1:20" x14ac:dyDescent="0.3">
      <c r="A25" s="6" t="s">
        <v>88</v>
      </c>
      <c r="B25" s="6" t="s">
        <v>20</v>
      </c>
      <c r="C25" s="6" t="s">
        <v>21</v>
      </c>
      <c r="D25" s="6" t="s">
        <v>22</v>
      </c>
      <c r="E25" s="6" t="s">
        <v>89</v>
      </c>
      <c r="F25" s="6" t="s">
        <v>31</v>
      </c>
      <c r="G25" s="6">
        <v>25</v>
      </c>
      <c r="H25" s="2" t="str" cm="1">
        <f t="array" ref="H25">_xlfn.IFS(G25&lt;30,"&lt;30",LoanData!G25&lt;40,"30-40",LoanData!G25&lt;50,"40-50",LoanData!G25&gt;50,"50+")</f>
        <v>&lt;30</v>
      </c>
      <c r="I25" s="7">
        <v>45388</v>
      </c>
      <c r="J25" s="8">
        <v>558000</v>
      </c>
      <c r="K25" s="6">
        <v>48</v>
      </c>
      <c r="L25" s="9">
        <v>10.9</v>
      </c>
      <c r="M25" s="8">
        <v>14395</v>
      </c>
      <c r="N25" s="6">
        <v>3</v>
      </c>
      <c r="O25" s="6">
        <v>3</v>
      </c>
      <c r="P25" s="8">
        <v>43185</v>
      </c>
      <c r="Q25" s="8">
        <v>529766</v>
      </c>
      <c r="R25" s="6">
        <v>0</v>
      </c>
      <c r="S25" s="6" t="s">
        <v>25</v>
      </c>
      <c r="T25" s="8">
        <v>14951</v>
      </c>
    </row>
    <row r="26" spans="1:20" x14ac:dyDescent="0.3">
      <c r="A26" s="2" t="s">
        <v>90</v>
      </c>
      <c r="B26" s="2" t="s">
        <v>20</v>
      </c>
      <c r="C26" s="2" t="s">
        <v>21</v>
      </c>
      <c r="D26" s="2" t="s">
        <v>49</v>
      </c>
      <c r="E26" s="2" t="s">
        <v>91</v>
      </c>
      <c r="F26" s="2" t="s">
        <v>31</v>
      </c>
      <c r="G26" s="2">
        <v>53</v>
      </c>
      <c r="H26" s="2" t="str" cm="1">
        <f t="array" ref="H26">_xlfn.IFS(G26&lt;30,"&lt;30",LoanData!G26&lt;40,"30-40",LoanData!G26&lt;50,"40-50",LoanData!G26&gt;50,"50+")</f>
        <v>50+</v>
      </c>
      <c r="I26" s="3">
        <v>45395</v>
      </c>
      <c r="J26" s="4">
        <v>551000</v>
      </c>
      <c r="K26" s="2">
        <v>48</v>
      </c>
      <c r="L26" s="5">
        <v>14.4</v>
      </c>
      <c r="M26" s="4">
        <v>15168</v>
      </c>
      <c r="N26" s="2">
        <v>3</v>
      </c>
      <c r="O26" s="2">
        <v>3</v>
      </c>
      <c r="P26" s="4">
        <v>45504</v>
      </c>
      <c r="Q26" s="4">
        <v>525024</v>
      </c>
      <c r="R26" s="2">
        <v>0</v>
      </c>
      <c r="S26" s="2" t="s">
        <v>25</v>
      </c>
      <c r="T26" s="4">
        <v>19528</v>
      </c>
    </row>
    <row r="27" spans="1:20" x14ac:dyDescent="0.3">
      <c r="A27" s="6" t="s">
        <v>92</v>
      </c>
      <c r="B27" s="6" t="s">
        <v>40</v>
      </c>
      <c r="C27" s="6" t="s">
        <v>34</v>
      </c>
      <c r="D27" s="6" t="s">
        <v>57</v>
      </c>
      <c r="E27" s="6" t="s">
        <v>93</v>
      </c>
      <c r="F27" s="6" t="s">
        <v>42</v>
      </c>
      <c r="G27" s="6">
        <v>32</v>
      </c>
      <c r="H27" s="2" t="str" cm="1">
        <f t="array" ref="H27">_xlfn.IFS(G27&lt;30,"&lt;30",LoanData!G27&lt;40,"30-40",LoanData!G27&lt;50,"40-50",LoanData!G27&gt;50,"50+")</f>
        <v>30-40</v>
      </c>
      <c r="I27" s="7">
        <v>45309</v>
      </c>
      <c r="J27" s="8">
        <v>763000</v>
      </c>
      <c r="K27" s="6">
        <v>60</v>
      </c>
      <c r="L27" s="9">
        <v>13.2</v>
      </c>
      <c r="M27" s="8">
        <v>17439</v>
      </c>
      <c r="N27" s="6">
        <v>6</v>
      </c>
      <c r="O27" s="6">
        <v>0</v>
      </c>
      <c r="P27" s="8">
        <v>0</v>
      </c>
      <c r="Q27" s="8">
        <v>763000</v>
      </c>
      <c r="R27" s="6">
        <v>224</v>
      </c>
      <c r="S27" s="6" t="s">
        <v>55</v>
      </c>
      <c r="T27" s="8">
        <v>0</v>
      </c>
    </row>
    <row r="28" spans="1:20" x14ac:dyDescent="0.3">
      <c r="A28" s="2" t="s">
        <v>94</v>
      </c>
      <c r="B28" s="2" t="s">
        <v>80</v>
      </c>
      <c r="C28" s="2" t="s">
        <v>53</v>
      </c>
      <c r="D28" s="2" t="s">
        <v>22</v>
      </c>
      <c r="E28" s="2" t="s">
        <v>95</v>
      </c>
      <c r="F28" s="2" t="s">
        <v>42</v>
      </c>
      <c r="G28" s="2">
        <v>50</v>
      </c>
      <c r="H28" s="2" t="str" cm="1">
        <f t="array" ref="H28">_xlfn.IFS(G28&lt;30,"&lt;30",LoanData!G28&lt;40,"30-40",LoanData!G28&lt;50,"40-50",LoanData!G28&gt;=50,"50+")</f>
        <v>50+</v>
      </c>
      <c r="I28" s="3">
        <v>45344</v>
      </c>
      <c r="J28" s="4">
        <v>1476000</v>
      </c>
      <c r="K28" s="2">
        <v>24</v>
      </c>
      <c r="L28" s="5">
        <v>14</v>
      </c>
      <c r="M28" s="4">
        <v>70867</v>
      </c>
      <c r="N28" s="2">
        <v>5</v>
      </c>
      <c r="O28" s="2">
        <v>5</v>
      </c>
      <c r="P28" s="4">
        <v>354335</v>
      </c>
      <c r="Q28" s="4">
        <v>1201433</v>
      </c>
      <c r="R28" s="2">
        <v>0</v>
      </c>
      <c r="S28" s="2" t="s">
        <v>25</v>
      </c>
      <c r="T28" s="4">
        <v>79768</v>
      </c>
    </row>
    <row r="29" spans="1:20" x14ac:dyDescent="0.3">
      <c r="A29" s="6" t="s">
        <v>96</v>
      </c>
      <c r="B29" s="6" t="s">
        <v>20</v>
      </c>
      <c r="C29" s="6" t="s">
        <v>21</v>
      </c>
      <c r="D29" s="6" t="s">
        <v>35</v>
      </c>
      <c r="E29" s="6" t="s">
        <v>97</v>
      </c>
      <c r="F29" s="6" t="s">
        <v>31</v>
      </c>
      <c r="G29" s="6">
        <v>55</v>
      </c>
      <c r="H29" s="2" t="str" cm="1">
        <f t="array" ref="H29">_xlfn.IFS(G29&lt;30,"&lt;30",LoanData!G29&lt;40,"30-40",LoanData!G29&lt;50,"40-50",LoanData!G29&gt;=50,"50+")</f>
        <v>50+</v>
      </c>
      <c r="I29" s="7">
        <v>45330</v>
      </c>
      <c r="J29" s="8">
        <v>478000</v>
      </c>
      <c r="K29" s="6">
        <v>24</v>
      </c>
      <c r="L29" s="9">
        <v>15.3</v>
      </c>
      <c r="M29" s="8">
        <v>23245</v>
      </c>
      <c r="N29" s="6">
        <v>5</v>
      </c>
      <c r="O29" s="6">
        <v>5</v>
      </c>
      <c r="P29" s="8">
        <v>116225</v>
      </c>
      <c r="Q29" s="8">
        <v>390034</v>
      </c>
      <c r="R29" s="6">
        <v>0</v>
      </c>
      <c r="S29" s="6" t="s">
        <v>25</v>
      </c>
      <c r="T29" s="8">
        <v>28259</v>
      </c>
    </row>
    <row r="30" spans="1:20" x14ac:dyDescent="0.3">
      <c r="A30" s="2" t="s">
        <v>98</v>
      </c>
      <c r="B30" s="2" t="s">
        <v>80</v>
      </c>
      <c r="C30" s="2" t="s">
        <v>53</v>
      </c>
      <c r="D30" s="2" t="s">
        <v>57</v>
      </c>
      <c r="E30" s="2" t="s">
        <v>99</v>
      </c>
      <c r="F30" s="2" t="s">
        <v>24</v>
      </c>
      <c r="G30" s="2">
        <v>40</v>
      </c>
      <c r="H30" s="2" t="str" cm="1">
        <f t="array" ref="H30">_xlfn.IFS(G30&lt;30,"&lt;30",LoanData!G30&lt;40,"30-40",LoanData!G30&lt;50,"40-50",LoanData!G30&gt;=50,"50+")</f>
        <v>40-50</v>
      </c>
      <c r="I30" s="3">
        <v>45449</v>
      </c>
      <c r="J30" s="4">
        <v>1893000</v>
      </c>
      <c r="K30" s="2">
        <v>60</v>
      </c>
      <c r="L30" s="5">
        <v>13.9</v>
      </c>
      <c r="M30" s="4">
        <v>43949</v>
      </c>
      <c r="N30" s="2">
        <v>1</v>
      </c>
      <c r="O30" s="2">
        <v>1</v>
      </c>
      <c r="P30" s="4">
        <v>43949</v>
      </c>
      <c r="Q30" s="4">
        <v>1870979</v>
      </c>
      <c r="R30" s="2">
        <v>0</v>
      </c>
      <c r="S30" s="2" t="s">
        <v>25</v>
      </c>
      <c r="T30" s="4">
        <v>21928</v>
      </c>
    </row>
    <row r="31" spans="1:20" x14ac:dyDescent="0.3">
      <c r="A31" s="6" t="s">
        <v>100</v>
      </c>
      <c r="B31" s="6" t="s">
        <v>52</v>
      </c>
      <c r="C31" s="6" t="s">
        <v>53</v>
      </c>
      <c r="D31" s="6" t="s">
        <v>57</v>
      </c>
      <c r="E31" s="6" t="s">
        <v>101</v>
      </c>
      <c r="F31" s="6" t="s">
        <v>42</v>
      </c>
      <c r="G31" s="6">
        <v>46</v>
      </c>
      <c r="H31" s="2" t="str" cm="1">
        <f t="array" ref="H31">_xlfn.IFS(G31&lt;30,"&lt;30",LoanData!G31&lt;40,"30-40",LoanData!G31&lt;50,"40-50",LoanData!G31&gt;=50,"50+")</f>
        <v>40-50</v>
      </c>
      <c r="I31" s="7">
        <v>45294</v>
      </c>
      <c r="J31" s="8">
        <v>1955000</v>
      </c>
      <c r="K31" s="6">
        <v>48</v>
      </c>
      <c r="L31" s="9">
        <v>12.9</v>
      </c>
      <c r="M31" s="8">
        <v>52351</v>
      </c>
      <c r="N31" s="6">
        <v>6</v>
      </c>
      <c r="O31" s="6">
        <v>6</v>
      </c>
      <c r="P31" s="8">
        <v>314106</v>
      </c>
      <c r="Q31" s="8">
        <v>1761867</v>
      </c>
      <c r="R31" s="6">
        <v>0</v>
      </c>
      <c r="S31" s="6" t="s">
        <v>25</v>
      </c>
      <c r="T31" s="8">
        <v>120973</v>
      </c>
    </row>
    <row r="32" spans="1:20" x14ac:dyDescent="0.3">
      <c r="A32" s="2" t="s">
        <v>102</v>
      </c>
      <c r="B32" s="2" t="s">
        <v>65</v>
      </c>
      <c r="C32" s="2" t="s">
        <v>28</v>
      </c>
      <c r="D32" s="2" t="s">
        <v>49</v>
      </c>
      <c r="E32" s="2" t="s">
        <v>103</v>
      </c>
      <c r="F32" s="2" t="s">
        <v>42</v>
      </c>
      <c r="G32" s="2">
        <v>32</v>
      </c>
      <c r="H32" s="2" t="str" cm="1">
        <f t="array" ref="H32">_xlfn.IFS(G32&lt;30,"&lt;30",LoanData!G32&lt;40,"30-40",LoanData!G32&lt;50,"40-50",LoanData!G32&gt;=50,"50+")</f>
        <v>30-40</v>
      </c>
      <c r="I32" s="3">
        <v>45301</v>
      </c>
      <c r="J32" s="4">
        <v>381000</v>
      </c>
      <c r="K32" s="2">
        <v>24</v>
      </c>
      <c r="L32" s="5">
        <v>12.8</v>
      </c>
      <c r="M32" s="4">
        <v>18078</v>
      </c>
      <c r="N32" s="2">
        <v>6</v>
      </c>
      <c r="O32" s="2">
        <v>4</v>
      </c>
      <c r="P32" s="4">
        <v>72312</v>
      </c>
      <c r="Q32" s="4">
        <v>324042</v>
      </c>
      <c r="R32" s="2">
        <v>48</v>
      </c>
      <c r="S32" s="2" t="s">
        <v>47</v>
      </c>
      <c r="T32" s="4">
        <v>15354</v>
      </c>
    </row>
    <row r="33" spans="1:20" x14ac:dyDescent="0.3">
      <c r="A33" s="6" t="s">
        <v>104</v>
      </c>
      <c r="B33" s="6" t="s">
        <v>65</v>
      </c>
      <c r="C33" s="6" t="s">
        <v>28</v>
      </c>
      <c r="D33" s="6" t="s">
        <v>57</v>
      </c>
      <c r="E33" s="6" t="s">
        <v>105</v>
      </c>
      <c r="F33" s="6" t="s">
        <v>42</v>
      </c>
      <c r="G33" s="6">
        <v>26</v>
      </c>
      <c r="H33" s="2" t="str" cm="1">
        <f t="array" ref="H33">_xlfn.IFS(G33&lt;30,"&lt;30",LoanData!G33&lt;40,"30-40",LoanData!G33&lt;50,"40-50",LoanData!G33&gt;=50,"50+")</f>
        <v>&lt;30</v>
      </c>
      <c r="I33" s="7">
        <v>45358</v>
      </c>
      <c r="J33" s="8">
        <v>443000</v>
      </c>
      <c r="K33" s="6">
        <v>60</v>
      </c>
      <c r="L33" s="9">
        <v>15.2</v>
      </c>
      <c r="M33" s="8">
        <v>10586</v>
      </c>
      <c r="N33" s="6">
        <v>4</v>
      </c>
      <c r="O33" s="6">
        <v>2</v>
      </c>
      <c r="P33" s="8">
        <v>21172</v>
      </c>
      <c r="Q33" s="8">
        <v>432989</v>
      </c>
      <c r="R33" s="6">
        <v>71</v>
      </c>
      <c r="S33" s="6" t="s">
        <v>47</v>
      </c>
      <c r="T33" s="8">
        <v>11161</v>
      </c>
    </row>
    <row r="34" spans="1:20" x14ac:dyDescent="0.3">
      <c r="A34" s="2" t="s">
        <v>106</v>
      </c>
      <c r="B34" s="2" t="s">
        <v>60</v>
      </c>
      <c r="C34" s="2" t="s">
        <v>21</v>
      </c>
      <c r="D34" s="2" t="s">
        <v>49</v>
      </c>
      <c r="E34" s="2" t="s">
        <v>107</v>
      </c>
      <c r="F34" s="2" t="s">
        <v>31</v>
      </c>
      <c r="G34" s="2">
        <v>27</v>
      </c>
      <c r="H34" s="2" t="str" cm="1">
        <f t="array" ref="H34">_xlfn.IFS(G34&lt;30,"&lt;30",LoanData!G34&lt;40,"30-40",LoanData!G34&lt;50,"40-50",LoanData!G34&gt;=50,"50+")</f>
        <v>&lt;30</v>
      </c>
      <c r="I34" s="3">
        <v>45305</v>
      </c>
      <c r="J34" s="4">
        <v>652000</v>
      </c>
      <c r="K34" s="2">
        <v>60</v>
      </c>
      <c r="L34" s="5">
        <v>14.4</v>
      </c>
      <c r="M34" s="4">
        <v>15306</v>
      </c>
      <c r="N34" s="2">
        <v>6</v>
      </c>
      <c r="O34" s="2">
        <v>6</v>
      </c>
      <c r="P34" s="4">
        <v>91836</v>
      </c>
      <c r="Q34" s="4">
        <v>605737</v>
      </c>
      <c r="R34" s="2">
        <v>0</v>
      </c>
      <c r="S34" s="2" t="s">
        <v>25</v>
      </c>
      <c r="T34" s="4">
        <v>45573</v>
      </c>
    </row>
    <row r="35" spans="1:20" x14ac:dyDescent="0.3">
      <c r="A35" s="6" t="s">
        <v>108</v>
      </c>
      <c r="B35" s="6" t="s">
        <v>60</v>
      </c>
      <c r="C35" s="6" t="s">
        <v>21</v>
      </c>
      <c r="D35" s="6" t="s">
        <v>35</v>
      </c>
      <c r="E35" s="6" t="s">
        <v>109</v>
      </c>
      <c r="F35" s="6" t="s">
        <v>42</v>
      </c>
      <c r="G35" s="6">
        <v>54</v>
      </c>
      <c r="H35" s="2" t="str" cm="1">
        <f t="array" ref="H35">_xlfn.IFS(G35&lt;30,"&lt;30",LoanData!G35&lt;40,"30-40",LoanData!G35&lt;50,"40-50",LoanData!G35&gt;=50,"50+")</f>
        <v>50+</v>
      </c>
      <c r="I35" s="7">
        <v>45404</v>
      </c>
      <c r="J35" s="8">
        <v>274000</v>
      </c>
      <c r="K35" s="6">
        <v>36</v>
      </c>
      <c r="L35" s="9">
        <v>16.100000000000001</v>
      </c>
      <c r="M35" s="8">
        <v>9647</v>
      </c>
      <c r="N35" s="6">
        <v>3</v>
      </c>
      <c r="O35" s="6">
        <v>3</v>
      </c>
      <c r="P35" s="8">
        <v>28941</v>
      </c>
      <c r="Q35" s="8">
        <v>255847</v>
      </c>
      <c r="R35" s="6">
        <v>0</v>
      </c>
      <c r="S35" s="6" t="s">
        <v>25</v>
      </c>
      <c r="T35" s="8">
        <v>10788</v>
      </c>
    </row>
    <row r="36" spans="1:20" x14ac:dyDescent="0.3">
      <c r="A36" s="2" t="s">
        <v>110</v>
      </c>
      <c r="B36" s="2" t="s">
        <v>52</v>
      </c>
      <c r="C36" s="2" t="s">
        <v>53</v>
      </c>
      <c r="D36" s="2" t="s">
        <v>29</v>
      </c>
      <c r="E36" s="2" t="s">
        <v>111</v>
      </c>
      <c r="F36" s="2" t="s">
        <v>42</v>
      </c>
      <c r="G36" s="2">
        <v>23</v>
      </c>
      <c r="H36" s="2" t="str" cm="1">
        <f t="array" ref="H36">_xlfn.IFS(G36&lt;30,"&lt;30",LoanData!G36&lt;40,"30-40",LoanData!G36&lt;50,"40-50",LoanData!G36&gt;=50,"50+")</f>
        <v>&lt;30</v>
      </c>
      <c r="I36" s="3">
        <v>45313</v>
      </c>
      <c r="J36" s="4">
        <v>63000</v>
      </c>
      <c r="K36" s="2">
        <v>24</v>
      </c>
      <c r="L36" s="5">
        <v>9.9</v>
      </c>
      <c r="M36" s="4">
        <v>2904</v>
      </c>
      <c r="N36" s="2">
        <v>6</v>
      </c>
      <c r="O36" s="2">
        <v>4</v>
      </c>
      <c r="P36" s="4">
        <v>11616</v>
      </c>
      <c r="Q36" s="4">
        <v>53343</v>
      </c>
      <c r="R36" s="2">
        <v>66</v>
      </c>
      <c r="S36" s="2" t="s">
        <v>47</v>
      </c>
      <c r="T36" s="4">
        <v>1959</v>
      </c>
    </row>
    <row r="37" spans="1:20" x14ac:dyDescent="0.3">
      <c r="A37" s="6" t="s">
        <v>112</v>
      </c>
      <c r="B37" s="6" t="s">
        <v>27</v>
      </c>
      <c r="C37" s="6" t="s">
        <v>28</v>
      </c>
      <c r="D37" s="6" t="s">
        <v>29</v>
      </c>
      <c r="E37" s="6" t="s">
        <v>113</v>
      </c>
      <c r="F37" s="6" t="s">
        <v>42</v>
      </c>
      <c r="G37" s="6">
        <v>54</v>
      </c>
      <c r="H37" s="2" t="str" cm="1">
        <f t="array" ref="H37">_xlfn.IFS(G37&lt;30,"&lt;30",LoanData!G37&lt;40,"30-40",LoanData!G37&lt;50,"40-50",LoanData!G37&gt;=50,"50+")</f>
        <v>50+</v>
      </c>
      <c r="I37" s="7">
        <v>45373</v>
      </c>
      <c r="J37" s="8">
        <v>96000</v>
      </c>
      <c r="K37" s="6">
        <v>6</v>
      </c>
      <c r="L37" s="9">
        <v>9.1999999999999993</v>
      </c>
      <c r="M37" s="8">
        <v>16432</v>
      </c>
      <c r="N37" s="6">
        <v>4</v>
      </c>
      <c r="O37" s="6">
        <v>4</v>
      </c>
      <c r="P37" s="8">
        <v>65728</v>
      </c>
      <c r="Q37" s="8">
        <v>32490</v>
      </c>
      <c r="R37" s="6">
        <v>0</v>
      </c>
      <c r="S37" s="6" t="s">
        <v>25</v>
      </c>
      <c r="T37" s="8">
        <v>2218</v>
      </c>
    </row>
    <row r="38" spans="1:20" x14ac:dyDescent="0.3">
      <c r="A38" s="2" t="s">
        <v>114</v>
      </c>
      <c r="B38" s="2" t="s">
        <v>40</v>
      </c>
      <c r="C38" s="2" t="s">
        <v>34</v>
      </c>
      <c r="D38" s="2" t="s">
        <v>35</v>
      </c>
      <c r="E38" s="2" t="s">
        <v>115</v>
      </c>
      <c r="F38" s="2" t="s">
        <v>24</v>
      </c>
      <c r="G38" s="2">
        <v>49</v>
      </c>
      <c r="H38" s="2" t="str" cm="1">
        <f t="array" ref="H38">_xlfn.IFS(G38&lt;30,"&lt;30",LoanData!G38&lt;40,"30-40",LoanData!G38&lt;50,"40-50",LoanData!G38&gt;=50,"50+")</f>
        <v>40-50</v>
      </c>
      <c r="I38" s="3">
        <v>45345</v>
      </c>
      <c r="J38" s="4">
        <v>97000</v>
      </c>
      <c r="K38" s="2">
        <v>36</v>
      </c>
      <c r="L38" s="5">
        <v>17.7</v>
      </c>
      <c r="M38" s="4">
        <v>3492</v>
      </c>
      <c r="N38" s="2">
        <v>5</v>
      </c>
      <c r="O38" s="2">
        <v>3</v>
      </c>
      <c r="P38" s="4">
        <v>10476</v>
      </c>
      <c r="Q38" s="4">
        <v>90724</v>
      </c>
      <c r="R38" s="2">
        <v>68</v>
      </c>
      <c r="S38" s="2" t="s">
        <v>47</v>
      </c>
      <c r="T38" s="4">
        <v>4200</v>
      </c>
    </row>
    <row r="39" spans="1:20" x14ac:dyDescent="0.3">
      <c r="A39" s="6" t="s">
        <v>116</v>
      </c>
      <c r="B39" s="6" t="s">
        <v>40</v>
      </c>
      <c r="C39" s="6" t="s">
        <v>34</v>
      </c>
      <c r="D39" s="6" t="s">
        <v>29</v>
      </c>
      <c r="E39" s="6" t="s">
        <v>117</v>
      </c>
      <c r="F39" s="6" t="s">
        <v>42</v>
      </c>
      <c r="G39" s="6">
        <v>45</v>
      </c>
      <c r="H39" s="2" t="str" cm="1">
        <f t="array" ref="H39">_xlfn.IFS(G39&lt;30,"&lt;30",LoanData!G39&lt;40,"30-40",LoanData!G39&lt;50,"40-50",LoanData!G39&gt;=50,"50+")</f>
        <v>40-50</v>
      </c>
      <c r="I39" s="7">
        <v>45430</v>
      </c>
      <c r="J39" s="8">
        <v>252000</v>
      </c>
      <c r="K39" s="6">
        <v>6</v>
      </c>
      <c r="L39" s="9">
        <v>9.6</v>
      </c>
      <c r="M39" s="8">
        <v>43184</v>
      </c>
      <c r="N39" s="6">
        <v>2</v>
      </c>
      <c r="O39" s="6">
        <v>2</v>
      </c>
      <c r="P39" s="8">
        <v>86368</v>
      </c>
      <c r="Q39" s="8">
        <v>169335</v>
      </c>
      <c r="R39" s="6">
        <v>0</v>
      </c>
      <c r="S39" s="6" t="s">
        <v>25</v>
      </c>
      <c r="T39" s="8">
        <v>3703</v>
      </c>
    </row>
    <row r="40" spans="1:20" x14ac:dyDescent="0.3">
      <c r="A40" s="2" t="s">
        <v>118</v>
      </c>
      <c r="B40" s="2" t="s">
        <v>60</v>
      </c>
      <c r="C40" s="2" t="s">
        <v>21</v>
      </c>
      <c r="D40" s="2" t="s">
        <v>29</v>
      </c>
      <c r="E40" s="2" t="s">
        <v>119</v>
      </c>
      <c r="F40" s="2" t="s">
        <v>31</v>
      </c>
      <c r="G40" s="2">
        <v>40</v>
      </c>
      <c r="H40" s="2" t="str" cm="1">
        <f t="array" ref="H40">_xlfn.IFS(G40&lt;30,"&lt;30",LoanData!G40&lt;40,"30-40",LoanData!G40&lt;50,"40-50",LoanData!G40&gt;=50,"50+")</f>
        <v>40-50</v>
      </c>
      <c r="I40" s="3">
        <v>45445</v>
      </c>
      <c r="J40" s="4">
        <v>158000</v>
      </c>
      <c r="K40" s="2">
        <v>12</v>
      </c>
      <c r="L40" s="5">
        <v>9.5</v>
      </c>
      <c r="M40" s="4">
        <v>13854</v>
      </c>
      <c r="N40" s="2">
        <v>1</v>
      </c>
      <c r="O40" s="2">
        <v>1</v>
      </c>
      <c r="P40" s="4">
        <v>13854</v>
      </c>
      <c r="Q40" s="4">
        <v>145397</v>
      </c>
      <c r="R40" s="2">
        <v>0</v>
      </c>
      <c r="S40" s="2" t="s">
        <v>25</v>
      </c>
      <c r="T40" s="4">
        <v>1251</v>
      </c>
    </row>
    <row r="41" spans="1:20" x14ac:dyDescent="0.3">
      <c r="A41" s="6" t="s">
        <v>120</v>
      </c>
      <c r="B41" s="6" t="s">
        <v>65</v>
      </c>
      <c r="C41" s="6" t="s">
        <v>28</v>
      </c>
      <c r="D41" s="6" t="s">
        <v>22</v>
      </c>
      <c r="E41" s="6" t="s">
        <v>121</v>
      </c>
      <c r="F41" s="6" t="s">
        <v>24</v>
      </c>
      <c r="G41" s="6">
        <v>23</v>
      </c>
      <c r="H41" s="2" t="str" cm="1">
        <f t="array" ref="H41">_xlfn.IFS(G41&lt;30,"&lt;30",LoanData!G41&lt;40,"30-40",LoanData!G41&lt;50,"40-50",LoanData!G41&gt;=50,"50+")</f>
        <v>&lt;30</v>
      </c>
      <c r="I41" s="7">
        <v>45357</v>
      </c>
      <c r="J41" s="8">
        <v>394000</v>
      </c>
      <c r="K41" s="6">
        <v>48</v>
      </c>
      <c r="L41" s="9">
        <v>11.9</v>
      </c>
      <c r="M41" s="8">
        <v>10356</v>
      </c>
      <c r="N41" s="6">
        <v>4</v>
      </c>
      <c r="O41" s="6">
        <v>4</v>
      </c>
      <c r="P41" s="8">
        <v>41424</v>
      </c>
      <c r="Q41" s="8">
        <v>367818</v>
      </c>
      <c r="R41" s="6">
        <v>0</v>
      </c>
      <c r="S41" s="6" t="s">
        <v>25</v>
      </c>
      <c r="T41" s="8">
        <v>15242</v>
      </c>
    </row>
    <row r="42" spans="1:20" x14ac:dyDescent="0.3">
      <c r="A42" s="2" t="s">
        <v>122</v>
      </c>
      <c r="B42" s="2" t="s">
        <v>65</v>
      </c>
      <c r="C42" s="2" t="s">
        <v>28</v>
      </c>
      <c r="D42" s="2" t="s">
        <v>57</v>
      </c>
      <c r="E42" s="2" t="s">
        <v>123</v>
      </c>
      <c r="F42" s="2" t="s">
        <v>31</v>
      </c>
      <c r="G42" s="2">
        <v>37</v>
      </c>
      <c r="H42" s="2" t="str" cm="1">
        <f t="array" ref="H42">_xlfn.IFS(G42&lt;30,"&lt;30",LoanData!G42&lt;40,"30-40",LoanData!G42&lt;50,"40-50",LoanData!G42&gt;=50,"50+")</f>
        <v>30-40</v>
      </c>
      <c r="I42" s="3">
        <v>45430</v>
      </c>
      <c r="J42" s="4">
        <v>528000</v>
      </c>
      <c r="K42" s="2">
        <v>60</v>
      </c>
      <c r="L42" s="5">
        <v>15.9</v>
      </c>
      <c r="M42" s="4">
        <v>12812</v>
      </c>
      <c r="N42" s="2">
        <v>2</v>
      </c>
      <c r="O42" s="2">
        <v>2</v>
      </c>
      <c r="P42" s="4">
        <v>25624</v>
      </c>
      <c r="Q42" s="4">
        <v>516291</v>
      </c>
      <c r="R42" s="2">
        <v>0</v>
      </c>
      <c r="S42" s="2" t="s">
        <v>25</v>
      </c>
      <c r="T42" s="4">
        <v>13915</v>
      </c>
    </row>
    <row r="43" spans="1:20" x14ac:dyDescent="0.3">
      <c r="A43" s="6" t="s">
        <v>124</v>
      </c>
      <c r="B43" s="6" t="s">
        <v>33</v>
      </c>
      <c r="C43" s="6" t="s">
        <v>34</v>
      </c>
      <c r="D43" s="6" t="s">
        <v>35</v>
      </c>
      <c r="E43" s="6" t="s">
        <v>125</v>
      </c>
      <c r="F43" s="6" t="s">
        <v>42</v>
      </c>
      <c r="G43" s="6">
        <v>46</v>
      </c>
      <c r="H43" s="2" t="str" cm="1">
        <f t="array" ref="H43">_xlfn.IFS(G43&lt;30,"&lt;30",LoanData!G43&lt;40,"30-40",LoanData!G43&lt;50,"40-50",LoanData!G43&gt;=50,"50+")</f>
        <v>40-50</v>
      </c>
      <c r="I43" s="7">
        <v>45417</v>
      </c>
      <c r="J43" s="8">
        <v>158000</v>
      </c>
      <c r="K43" s="6">
        <v>24</v>
      </c>
      <c r="L43" s="9">
        <v>16.399999999999999</v>
      </c>
      <c r="M43" s="8">
        <v>7766</v>
      </c>
      <c r="N43" s="6">
        <v>2</v>
      </c>
      <c r="O43" s="6">
        <v>2</v>
      </c>
      <c r="P43" s="8">
        <v>15532</v>
      </c>
      <c r="Q43" s="8">
        <v>146709</v>
      </c>
      <c r="R43" s="6">
        <v>0</v>
      </c>
      <c r="S43" s="6" t="s">
        <v>25</v>
      </c>
      <c r="T43" s="8">
        <v>4241</v>
      </c>
    </row>
    <row r="44" spans="1:20" x14ac:dyDescent="0.3">
      <c r="A44" s="2" t="s">
        <v>126</v>
      </c>
      <c r="B44" s="2" t="s">
        <v>40</v>
      </c>
      <c r="C44" s="2" t="s">
        <v>34</v>
      </c>
      <c r="D44" s="2" t="s">
        <v>57</v>
      </c>
      <c r="E44" s="2" t="s">
        <v>127</v>
      </c>
      <c r="F44" s="2" t="s">
        <v>42</v>
      </c>
      <c r="G44" s="2">
        <v>41</v>
      </c>
      <c r="H44" s="2" t="str" cm="1">
        <f t="array" ref="H44">_xlfn.IFS(G44&lt;30,"&lt;30",LoanData!G44&lt;40,"30-40",LoanData!G44&lt;50,"40-50",LoanData!G44&gt;=50,"50+")</f>
        <v>40-50</v>
      </c>
      <c r="I44" s="3">
        <v>45297</v>
      </c>
      <c r="J44" s="4">
        <v>1535000</v>
      </c>
      <c r="K44" s="2">
        <v>48</v>
      </c>
      <c r="L44" s="5">
        <v>12.9</v>
      </c>
      <c r="M44" s="4">
        <v>41104</v>
      </c>
      <c r="N44" s="2">
        <v>6</v>
      </c>
      <c r="O44" s="2">
        <v>4</v>
      </c>
      <c r="P44" s="4">
        <v>164416</v>
      </c>
      <c r="Q44" s="4">
        <v>1434990</v>
      </c>
      <c r="R44" s="2">
        <v>55</v>
      </c>
      <c r="S44" s="2" t="s">
        <v>47</v>
      </c>
      <c r="T44" s="4">
        <v>64406</v>
      </c>
    </row>
    <row r="45" spans="1:20" x14ac:dyDescent="0.3">
      <c r="A45" s="6" t="s">
        <v>128</v>
      </c>
      <c r="B45" s="6" t="s">
        <v>33</v>
      </c>
      <c r="C45" s="6" t="s">
        <v>34</v>
      </c>
      <c r="D45" s="6" t="s">
        <v>57</v>
      </c>
      <c r="E45" s="6" t="s">
        <v>129</v>
      </c>
      <c r="F45" s="6" t="s">
        <v>24</v>
      </c>
      <c r="G45" s="6">
        <v>37</v>
      </c>
      <c r="H45" s="2" t="str" cm="1">
        <f t="array" ref="H45">_xlfn.IFS(G45&lt;30,"&lt;30",LoanData!G45&lt;40,"30-40",LoanData!G45&lt;50,"40-50",LoanData!G45&gt;=50,"50+")</f>
        <v>30-40</v>
      </c>
      <c r="I45" s="7">
        <v>45398</v>
      </c>
      <c r="J45" s="8">
        <v>1371000</v>
      </c>
      <c r="K45" s="6">
        <v>60</v>
      </c>
      <c r="L45" s="9">
        <v>13</v>
      </c>
      <c r="M45" s="8">
        <v>31194</v>
      </c>
      <c r="N45" s="6">
        <v>3</v>
      </c>
      <c r="O45" s="6">
        <v>1</v>
      </c>
      <c r="P45" s="8">
        <v>31194</v>
      </c>
      <c r="Q45" s="8">
        <v>1354658</v>
      </c>
      <c r="R45" s="6">
        <v>69</v>
      </c>
      <c r="S45" s="6" t="s">
        <v>47</v>
      </c>
      <c r="T45" s="8">
        <v>14852</v>
      </c>
    </row>
    <row r="46" spans="1:20" x14ac:dyDescent="0.3">
      <c r="A46" s="2" t="s">
        <v>130</v>
      </c>
      <c r="B46" s="2" t="s">
        <v>40</v>
      </c>
      <c r="C46" s="2" t="s">
        <v>34</v>
      </c>
      <c r="D46" s="2" t="s">
        <v>35</v>
      </c>
      <c r="E46" s="2" t="s">
        <v>131</v>
      </c>
      <c r="F46" s="2" t="s">
        <v>24</v>
      </c>
      <c r="G46" s="2">
        <v>31</v>
      </c>
      <c r="H46" s="2" t="str" cm="1">
        <f t="array" ref="H46">_xlfn.IFS(G46&lt;30,"&lt;30",LoanData!G46&lt;40,"30-40",LoanData!G46&lt;50,"40-50",LoanData!G46&gt;=50,"50+")</f>
        <v>30-40</v>
      </c>
      <c r="I46" s="3">
        <v>45451</v>
      </c>
      <c r="J46" s="4">
        <v>405000</v>
      </c>
      <c r="K46" s="2">
        <v>24</v>
      </c>
      <c r="L46" s="5">
        <v>15.3</v>
      </c>
      <c r="M46" s="4">
        <v>19695</v>
      </c>
      <c r="N46" s="2">
        <v>1</v>
      </c>
      <c r="O46" s="2">
        <v>1</v>
      </c>
      <c r="P46" s="4">
        <v>19695</v>
      </c>
      <c r="Q46" s="4">
        <v>390469</v>
      </c>
      <c r="R46" s="2">
        <v>0</v>
      </c>
      <c r="S46" s="2" t="s">
        <v>25</v>
      </c>
      <c r="T46" s="4">
        <v>5164</v>
      </c>
    </row>
    <row r="47" spans="1:20" x14ac:dyDescent="0.3">
      <c r="A47" s="6" t="s">
        <v>132</v>
      </c>
      <c r="B47" s="6" t="s">
        <v>40</v>
      </c>
      <c r="C47" s="6" t="s">
        <v>34</v>
      </c>
      <c r="D47" s="6" t="s">
        <v>22</v>
      </c>
      <c r="E47" s="6" t="s">
        <v>133</v>
      </c>
      <c r="F47" s="6" t="s">
        <v>24</v>
      </c>
      <c r="G47" s="6">
        <v>52</v>
      </c>
      <c r="H47" s="2" t="str" cm="1">
        <f t="array" ref="H47">_xlfn.IFS(G47&lt;30,"&lt;30",LoanData!G47&lt;40,"30-40",LoanData!G47&lt;50,"40-50",LoanData!G47&gt;=50,"50+")</f>
        <v>50+</v>
      </c>
      <c r="I47" s="7">
        <v>45338</v>
      </c>
      <c r="J47" s="8">
        <v>146000</v>
      </c>
      <c r="K47" s="6">
        <v>48</v>
      </c>
      <c r="L47" s="9">
        <v>13.1</v>
      </c>
      <c r="M47" s="8">
        <v>3924</v>
      </c>
      <c r="N47" s="6">
        <v>5</v>
      </c>
      <c r="O47" s="6">
        <v>3</v>
      </c>
      <c r="P47" s="8">
        <v>11772</v>
      </c>
      <c r="Q47" s="8">
        <v>138933</v>
      </c>
      <c r="R47" s="6">
        <v>71</v>
      </c>
      <c r="S47" s="6" t="s">
        <v>47</v>
      </c>
      <c r="T47" s="8">
        <v>4705</v>
      </c>
    </row>
    <row r="48" spans="1:20" x14ac:dyDescent="0.3">
      <c r="A48" s="2" t="s">
        <v>134</v>
      </c>
      <c r="B48" s="2" t="s">
        <v>40</v>
      </c>
      <c r="C48" s="2" t="s">
        <v>34</v>
      </c>
      <c r="D48" s="2" t="s">
        <v>35</v>
      </c>
      <c r="E48" s="2" t="s">
        <v>135</v>
      </c>
      <c r="F48" s="2" t="s">
        <v>24</v>
      </c>
      <c r="G48" s="2">
        <v>52</v>
      </c>
      <c r="H48" s="2" t="str" cm="1">
        <f t="array" ref="H48">_xlfn.IFS(G48&lt;30,"&lt;30",LoanData!G48&lt;40,"30-40",LoanData!G48&lt;50,"40-50",LoanData!G48&gt;=50,"50+")</f>
        <v>50+</v>
      </c>
      <c r="I48" s="3">
        <v>45364</v>
      </c>
      <c r="J48" s="4">
        <v>217000</v>
      </c>
      <c r="K48" s="2">
        <v>24</v>
      </c>
      <c r="L48" s="5">
        <v>17.3</v>
      </c>
      <c r="M48" s="4">
        <v>10760</v>
      </c>
      <c r="N48" s="2">
        <v>4</v>
      </c>
      <c r="O48" s="2">
        <v>4</v>
      </c>
      <c r="P48" s="4">
        <v>43040</v>
      </c>
      <c r="Q48" s="4">
        <v>185806</v>
      </c>
      <c r="R48" s="2">
        <v>0</v>
      </c>
      <c r="S48" s="2" t="s">
        <v>25</v>
      </c>
      <c r="T48" s="4">
        <v>11846</v>
      </c>
    </row>
    <row r="49" spans="1:20" x14ac:dyDescent="0.3">
      <c r="A49" s="6" t="s">
        <v>136</v>
      </c>
      <c r="B49" s="6" t="s">
        <v>40</v>
      </c>
      <c r="C49" s="6" t="s">
        <v>34</v>
      </c>
      <c r="D49" s="6" t="s">
        <v>29</v>
      </c>
      <c r="E49" s="6" t="s">
        <v>137</v>
      </c>
      <c r="F49" s="6" t="s">
        <v>42</v>
      </c>
      <c r="G49" s="6">
        <v>52</v>
      </c>
      <c r="H49" s="2" t="str" cm="1">
        <f t="array" ref="H49">_xlfn.IFS(G49&lt;30,"&lt;30",LoanData!G49&lt;40,"30-40",LoanData!G49&lt;50,"40-50",LoanData!G49&gt;=50,"50+")</f>
        <v>50+</v>
      </c>
      <c r="I49" s="7">
        <v>45298</v>
      </c>
      <c r="J49" s="8">
        <v>230000</v>
      </c>
      <c r="K49" s="6">
        <v>12</v>
      </c>
      <c r="L49" s="9">
        <v>10.1</v>
      </c>
      <c r="M49" s="8">
        <v>20231</v>
      </c>
      <c r="N49" s="6">
        <v>6</v>
      </c>
      <c r="O49" s="6">
        <v>6</v>
      </c>
      <c r="P49" s="8">
        <v>121386</v>
      </c>
      <c r="Q49" s="8">
        <v>117891</v>
      </c>
      <c r="R49" s="6">
        <v>0</v>
      </c>
      <c r="S49" s="6" t="s">
        <v>25</v>
      </c>
      <c r="T49" s="8">
        <v>9277</v>
      </c>
    </row>
    <row r="50" spans="1:20" x14ac:dyDescent="0.3">
      <c r="A50" s="2" t="s">
        <v>138</v>
      </c>
      <c r="B50" s="2" t="s">
        <v>52</v>
      </c>
      <c r="C50" s="2" t="s">
        <v>53</v>
      </c>
      <c r="D50" s="2" t="s">
        <v>29</v>
      </c>
      <c r="E50" s="2" t="s">
        <v>139</v>
      </c>
      <c r="F50" s="2" t="s">
        <v>31</v>
      </c>
      <c r="G50" s="2">
        <v>41</v>
      </c>
      <c r="H50" s="2" t="str" cm="1">
        <f t="array" ref="H50">_xlfn.IFS(G50&lt;30,"&lt;30",LoanData!G50&lt;40,"30-40",LoanData!G50&lt;50,"40-50",LoanData!G50&gt;=50,"50+")</f>
        <v>40-50</v>
      </c>
      <c r="I50" s="3">
        <v>45450</v>
      </c>
      <c r="J50" s="4">
        <v>90000</v>
      </c>
      <c r="K50" s="2">
        <v>12</v>
      </c>
      <c r="L50" s="5">
        <v>9.4</v>
      </c>
      <c r="M50" s="4">
        <v>7887</v>
      </c>
      <c r="N50" s="2">
        <v>1</v>
      </c>
      <c r="O50" s="2">
        <v>1</v>
      </c>
      <c r="P50" s="4">
        <v>7887</v>
      </c>
      <c r="Q50" s="4">
        <v>82818</v>
      </c>
      <c r="R50" s="2">
        <v>0</v>
      </c>
      <c r="S50" s="2" t="s">
        <v>25</v>
      </c>
      <c r="T50" s="4">
        <v>705</v>
      </c>
    </row>
    <row r="51" spans="1:20" x14ac:dyDescent="0.3">
      <c r="A51" s="6" t="s">
        <v>140</v>
      </c>
      <c r="B51" s="6" t="s">
        <v>20</v>
      </c>
      <c r="C51" s="6" t="s">
        <v>21</v>
      </c>
      <c r="D51" s="6" t="s">
        <v>22</v>
      </c>
      <c r="E51" s="6" t="s">
        <v>141</v>
      </c>
      <c r="F51" s="6" t="s">
        <v>42</v>
      </c>
      <c r="G51" s="6">
        <v>56</v>
      </c>
      <c r="H51" s="2" t="str" cm="1">
        <f t="array" ref="H51">_xlfn.IFS(G51&lt;30,"&lt;30",LoanData!G51&lt;40,"30-40",LoanData!G51&lt;50,"40-50",LoanData!G51&gt;=50,"50+")</f>
        <v>50+</v>
      </c>
      <c r="I51" s="7">
        <v>45352</v>
      </c>
      <c r="J51" s="8">
        <v>405000</v>
      </c>
      <c r="K51" s="6">
        <v>36</v>
      </c>
      <c r="L51" s="9">
        <v>12.7</v>
      </c>
      <c r="M51" s="8">
        <v>13588</v>
      </c>
      <c r="N51" s="6">
        <v>4</v>
      </c>
      <c r="O51" s="6">
        <v>3</v>
      </c>
      <c r="P51" s="8">
        <v>40764</v>
      </c>
      <c r="Q51" s="8">
        <v>376800</v>
      </c>
      <c r="R51" s="6">
        <v>19</v>
      </c>
      <c r="S51" s="6" t="s">
        <v>47</v>
      </c>
      <c r="T51" s="8">
        <v>12564</v>
      </c>
    </row>
    <row r="52" spans="1:20" x14ac:dyDescent="0.3">
      <c r="A52" s="2" t="s">
        <v>142</v>
      </c>
      <c r="B52" s="2" t="s">
        <v>52</v>
      </c>
      <c r="C52" s="2" t="s">
        <v>53</v>
      </c>
      <c r="D52" s="2" t="s">
        <v>29</v>
      </c>
      <c r="E52" s="2" t="s">
        <v>143</v>
      </c>
      <c r="F52" s="2" t="s">
        <v>42</v>
      </c>
      <c r="G52" s="2">
        <v>55</v>
      </c>
      <c r="H52" s="2" t="str" cm="1">
        <f t="array" ref="H52">_xlfn.IFS(G52&lt;30,"&lt;30",LoanData!G52&lt;40,"30-40",LoanData!G52&lt;50,"40-50",LoanData!G52&gt;=50,"50+")</f>
        <v>50+</v>
      </c>
      <c r="I52" s="3">
        <v>45315</v>
      </c>
      <c r="J52" s="4">
        <v>215000</v>
      </c>
      <c r="K52" s="2">
        <v>6</v>
      </c>
      <c r="L52" s="5">
        <v>10.199999999999999</v>
      </c>
      <c r="M52" s="4">
        <v>36907</v>
      </c>
      <c r="N52" s="2">
        <v>6</v>
      </c>
      <c r="O52" s="2">
        <v>6</v>
      </c>
      <c r="P52" s="4">
        <v>221442</v>
      </c>
      <c r="Q52" s="4">
        <v>0</v>
      </c>
      <c r="R52" s="2">
        <v>0</v>
      </c>
      <c r="S52" s="2" t="s">
        <v>25</v>
      </c>
      <c r="T52" s="4">
        <v>6442</v>
      </c>
    </row>
    <row r="53" spans="1:20" x14ac:dyDescent="0.3">
      <c r="A53" s="6" t="s">
        <v>144</v>
      </c>
      <c r="B53" s="6" t="s">
        <v>33</v>
      </c>
      <c r="C53" s="6" t="s">
        <v>34</v>
      </c>
      <c r="D53" s="6" t="s">
        <v>49</v>
      </c>
      <c r="E53" s="6" t="s">
        <v>145</v>
      </c>
      <c r="F53" s="6" t="s">
        <v>42</v>
      </c>
      <c r="G53" s="6">
        <v>24</v>
      </c>
      <c r="H53" s="2" t="str" cm="1">
        <f t="array" ref="H53">_xlfn.IFS(G53&lt;30,"&lt;30",LoanData!G53&lt;40,"30-40",LoanData!G53&lt;50,"40-50",LoanData!G53&gt;=50,"50+")</f>
        <v>&lt;30</v>
      </c>
      <c r="I53" s="7">
        <v>45455</v>
      </c>
      <c r="J53" s="8">
        <v>453000</v>
      </c>
      <c r="K53" s="6">
        <v>60</v>
      </c>
      <c r="L53" s="9">
        <v>13.2</v>
      </c>
      <c r="M53" s="8">
        <v>10354</v>
      </c>
      <c r="N53" s="6">
        <v>1</v>
      </c>
      <c r="O53" s="6">
        <v>0</v>
      </c>
      <c r="P53" s="8">
        <v>0</v>
      </c>
      <c r="Q53" s="8">
        <v>453000</v>
      </c>
      <c r="R53" s="6">
        <v>52</v>
      </c>
      <c r="S53" s="6" t="s">
        <v>47</v>
      </c>
      <c r="T53" s="8">
        <v>0</v>
      </c>
    </row>
    <row r="54" spans="1:20" x14ac:dyDescent="0.3">
      <c r="A54" s="2" t="s">
        <v>146</v>
      </c>
      <c r="B54" s="2" t="s">
        <v>33</v>
      </c>
      <c r="C54" s="2" t="s">
        <v>34</v>
      </c>
      <c r="D54" s="2" t="s">
        <v>49</v>
      </c>
      <c r="E54" s="2" t="s">
        <v>147</v>
      </c>
      <c r="F54" s="2" t="s">
        <v>31</v>
      </c>
      <c r="G54" s="2">
        <v>52</v>
      </c>
      <c r="H54" s="2" t="str" cm="1">
        <f t="array" ref="H54">_xlfn.IFS(G54&lt;30,"&lt;30",LoanData!G54&lt;40,"30-40",LoanData!G54&lt;50,"40-50",LoanData!G54&gt;=50,"50+")</f>
        <v>50+</v>
      </c>
      <c r="I54" s="3">
        <v>45347</v>
      </c>
      <c r="J54" s="4">
        <v>490000</v>
      </c>
      <c r="K54" s="2">
        <v>36</v>
      </c>
      <c r="L54" s="5">
        <v>12.8</v>
      </c>
      <c r="M54" s="4">
        <v>16463</v>
      </c>
      <c r="N54" s="2">
        <v>5</v>
      </c>
      <c r="O54" s="2">
        <v>5</v>
      </c>
      <c r="P54" s="4">
        <v>82315</v>
      </c>
      <c r="Q54" s="4">
        <v>432608</v>
      </c>
      <c r="R54" s="2">
        <v>0</v>
      </c>
      <c r="S54" s="2" t="s">
        <v>25</v>
      </c>
      <c r="T54" s="4">
        <v>24923</v>
      </c>
    </row>
    <row r="55" spans="1:20" x14ac:dyDescent="0.3">
      <c r="A55" s="6" t="s">
        <v>148</v>
      </c>
      <c r="B55" s="6" t="s">
        <v>65</v>
      </c>
      <c r="C55" s="6" t="s">
        <v>28</v>
      </c>
      <c r="D55" s="6" t="s">
        <v>22</v>
      </c>
      <c r="E55" s="6" t="s">
        <v>149</v>
      </c>
      <c r="F55" s="6" t="s">
        <v>24</v>
      </c>
      <c r="G55" s="6">
        <v>44</v>
      </c>
      <c r="H55" s="2" t="str" cm="1">
        <f t="array" ref="H55">_xlfn.IFS(G55&lt;30,"&lt;30",LoanData!G55&lt;40,"30-40",LoanData!G55&lt;50,"40-50",LoanData!G55&gt;=50,"50+")</f>
        <v>40-50</v>
      </c>
      <c r="I55" s="7">
        <v>45358</v>
      </c>
      <c r="J55" s="8">
        <v>316000</v>
      </c>
      <c r="K55" s="6">
        <v>36</v>
      </c>
      <c r="L55" s="9">
        <v>10.1</v>
      </c>
      <c r="M55" s="8">
        <v>10211</v>
      </c>
      <c r="N55" s="6">
        <v>4</v>
      </c>
      <c r="O55" s="6">
        <v>4</v>
      </c>
      <c r="P55" s="8">
        <v>40844</v>
      </c>
      <c r="Q55" s="8">
        <v>285410</v>
      </c>
      <c r="R55" s="6">
        <v>0</v>
      </c>
      <c r="S55" s="6" t="s">
        <v>25</v>
      </c>
      <c r="T55" s="8">
        <v>10254</v>
      </c>
    </row>
    <row r="56" spans="1:20" x14ac:dyDescent="0.3">
      <c r="A56" s="2" t="s">
        <v>150</v>
      </c>
      <c r="B56" s="2" t="s">
        <v>40</v>
      </c>
      <c r="C56" s="2" t="s">
        <v>34</v>
      </c>
      <c r="D56" s="2" t="s">
        <v>57</v>
      </c>
      <c r="E56" s="2" t="s">
        <v>151</v>
      </c>
      <c r="F56" s="2" t="s">
        <v>31</v>
      </c>
      <c r="G56" s="2">
        <v>58</v>
      </c>
      <c r="H56" s="2" t="str" cm="1">
        <f t="array" ref="H56">_xlfn.IFS(G56&lt;30,"&lt;30",LoanData!G56&lt;40,"30-40",LoanData!G56&lt;50,"40-50",LoanData!G56&gt;=50,"50+")</f>
        <v>50+</v>
      </c>
      <c r="I56" s="3">
        <v>45297</v>
      </c>
      <c r="J56" s="4">
        <v>473000</v>
      </c>
      <c r="K56" s="2">
        <v>36</v>
      </c>
      <c r="L56" s="5">
        <v>14.5</v>
      </c>
      <c r="M56" s="4">
        <v>16281</v>
      </c>
      <c r="N56" s="2">
        <v>6</v>
      </c>
      <c r="O56" s="2">
        <v>6</v>
      </c>
      <c r="P56" s="4">
        <v>97686</v>
      </c>
      <c r="Q56" s="4">
        <v>407660</v>
      </c>
      <c r="R56" s="2">
        <v>0</v>
      </c>
      <c r="S56" s="2" t="s">
        <v>25</v>
      </c>
      <c r="T56" s="4">
        <v>32346</v>
      </c>
    </row>
    <row r="57" spans="1:20" x14ac:dyDescent="0.3">
      <c r="A57" s="6" t="s">
        <v>152</v>
      </c>
      <c r="B57" s="6" t="s">
        <v>65</v>
      </c>
      <c r="C57" s="6" t="s">
        <v>28</v>
      </c>
      <c r="D57" s="6" t="s">
        <v>35</v>
      </c>
      <c r="E57" s="6" t="s">
        <v>153</v>
      </c>
      <c r="F57" s="6" t="s">
        <v>31</v>
      </c>
      <c r="G57" s="6">
        <v>57</v>
      </c>
      <c r="H57" s="2" t="str" cm="1">
        <f t="array" ref="H57">_xlfn.IFS(G57&lt;30,"&lt;30",LoanData!G57&lt;40,"30-40",LoanData!G57&lt;50,"40-50",LoanData!G57&gt;=50,"50+")</f>
        <v>50+</v>
      </c>
      <c r="I57" s="7">
        <v>45294</v>
      </c>
      <c r="J57" s="8">
        <v>392000</v>
      </c>
      <c r="K57" s="6">
        <v>36</v>
      </c>
      <c r="L57" s="9">
        <v>14.8</v>
      </c>
      <c r="M57" s="8">
        <v>13550</v>
      </c>
      <c r="N57" s="6">
        <v>6</v>
      </c>
      <c r="O57" s="6">
        <v>6</v>
      </c>
      <c r="P57" s="8">
        <v>81300</v>
      </c>
      <c r="Q57" s="8">
        <v>338066</v>
      </c>
      <c r="R57" s="6">
        <v>0</v>
      </c>
      <c r="S57" s="6" t="s">
        <v>25</v>
      </c>
      <c r="T57" s="8">
        <v>27366</v>
      </c>
    </row>
    <row r="58" spans="1:20" x14ac:dyDescent="0.3">
      <c r="A58" s="2" t="s">
        <v>154</v>
      </c>
      <c r="B58" s="2" t="s">
        <v>60</v>
      </c>
      <c r="C58" s="2" t="s">
        <v>21</v>
      </c>
      <c r="D58" s="2" t="s">
        <v>57</v>
      </c>
      <c r="E58" s="2" t="s">
        <v>155</v>
      </c>
      <c r="F58" s="2" t="s">
        <v>24</v>
      </c>
      <c r="G58" s="2">
        <v>42</v>
      </c>
      <c r="H58" s="2" t="str" cm="1">
        <f t="array" ref="H58">_xlfn.IFS(G58&lt;30,"&lt;30",LoanData!G58&lt;40,"30-40",LoanData!G58&lt;50,"40-50",LoanData!G58&gt;=50,"50+")</f>
        <v>40-50</v>
      </c>
      <c r="I58" s="3">
        <v>45377</v>
      </c>
      <c r="J58" s="4">
        <v>567000</v>
      </c>
      <c r="K58" s="2">
        <v>24</v>
      </c>
      <c r="L58" s="5">
        <v>14.3</v>
      </c>
      <c r="M58" s="4">
        <v>27304</v>
      </c>
      <c r="N58" s="2">
        <v>4</v>
      </c>
      <c r="O58" s="2">
        <v>4</v>
      </c>
      <c r="P58" s="4">
        <v>109216</v>
      </c>
      <c r="Q58" s="4">
        <v>483331</v>
      </c>
      <c r="R58" s="2">
        <v>0</v>
      </c>
      <c r="S58" s="2" t="s">
        <v>25</v>
      </c>
      <c r="T58" s="4">
        <v>25547</v>
      </c>
    </row>
    <row r="59" spans="1:20" x14ac:dyDescent="0.3">
      <c r="A59" s="6" t="s">
        <v>156</v>
      </c>
      <c r="B59" s="6" t="s">
        <v>80</v>
      </c>
      <c r="C59" s="6" t="s">
        <v>53</v>
      </c>
      <c r="D59" s="6" t="s">
        <v>35</v>
      </c>
      <c r="E59" s="6" t="s">
        <v>157</v>
      </c>
      <c r="F59" s="6" t="s">
        <v>42</v>
      </c>
      <c r="G59" s="6">
        <v>53</v>
      </c>
      <c r="H59" s="2" t="str" cm="1">
        <f t="array" ref="H59">_xlfn.IFS(G59&lt;30,"&lt;30",LoanData!G59&lt;40,"30-40",LoanData!G59&lt;50,"40-50",LoanData!G59&gt;=50,"50+")</f>
        <v>50+</v>
      </c>
      <c r="I59" s="7">
        <v>45324</v>
      </c>
      <c r="J59" s="8">
        <v>310000</v>
      </c>
      <c r="K59" s="6">
        <v>24</v>
      </c>
      <c r="L59" s="9">
        <v>14.2</v>
      </c>
      <c r="M59" s="8">
        <v>14913</v>
      </c>
      <c r="N59" s="6">
        <v>5</v>
      </c>
      <c r="O59" s="6">
        <v>5</v>
      </c>
      <c r="P59" s="8">
        <v>74565</v>
      </c>
      <c r="Q59" s="8">
        <v>252429</v>
      </c>
      <c r="R59" s="6">
        <v>0</v>
      </c>
      <c r="S59" s="6" t="s">
        <v>25</v>
      </c>
      <c r="T59" s="8">
        <v>16994</v>
      </c>
    </row>
    <row r="60" spans="1:20" x14ac:dyDescent="0.3">
      <c r="A60" s="2" t="s">
        <v>158</v>
      </c>
      <c r="B60" s="2" t="s">
        <v>65</v>
      </c>
      <c r="C60" s="2" t="s">
        <v>28</v>
      </c>
      <c r="D60" s="2" t="s">
        <v>22</v>
      </c>
      <c r="E60" s="2" t="s">
        <v>159</v>
      </c>
      <c r="F60" s="2" t="s">
        <v>24</v>
      </c>
      <c r="G60" s="2">
        <v>44</v>
      </c>
      <c r="H60" s="2" t="str" cm="1">
        <f t="array" ref="H60">_xlfn.IFS(G60&lt;30,"&lt;30",LoanData!G60&lt;40,"30-40",LoanData!G60&lt;50,"40-50",LoanData!G60&gt;=50,"50+")</f>
        <v>40-50</v>
      </c>
      <c r="I60" s="3">
        <v>45373</v>
      </c>
      <c r="J60" s="4">
        <v>1108000</v>
      </c>
      <c r="K60" s="2">
        <v>24</v>
      </c>
      <c r="L60" s="5">
        <v>12.1</v>
      </c>
      <c r="M60" s="4">
        <v>52209</v>
      </c>
      <c r="N60" s="2">
        <v>4</v>
      </c>
      <c r="O60" s="2">
        <v>4</v>
      </c>
      <c r="P60" s="4">
        <v>208836</v>
      </c>
      <c r="Q60" s="4">
        <v>941353</v>
      </c>
      <c r="R60" s="2">
        <v>0</v>
      </c>
      <c r="S60" s="2" t="s">
        <v>25</v>
      </c>
      <c r="T60" s="4">
        <v>42189</v>
      </c>
    </row>
    <row r="61" spans="1:20" x14ac:dyDescent="0.3">
      <c r="A61" s="6" t="s">
        <v>160</v>
      </c>
      <c r="B61" s="6" t="s">
        <v>80</v>
      </c>
      <c r="C61" s="6" t="s">
        <v>53</v>
      </c>
      <c r="D61" s="6" t="s">
        <v>29</v>
      </c>
      <c r="E61" s="6" t="s">
        <v>161</v>
      </c>
      <c r="F61" s="6" t="s">
        <v>24</v>
      </c>
      <c r="G61" s="6">
        <v>43</v>
      </c>
      <c r="H61" s="2" t="str" cm="1">
        <f t="array" ref="H61">_xlfn.IFS(G61&lt;30,"&lt;30",LoanData!G61&lt;40,"30-40",LoanData!G61&lt;50,"40-50",LoanData!G61&gt;=50,"50+")</f>
        <v>40-50</v>
      </c>
      <c r="I61" s="7">
        <v>45347</v>
      </c>
      <c r="J61" s="8">
        <v>35000</v>
      </c>
      <c r="K61" s="6">
        <v>6</v>
      </c>
      <c r="L61" s="9">
        <v>9.9</v>
      </c>
      <c r="M61" s="8">
        <v>6003</v>
      </c>
      <c r="N61" s="6">
        <v>5</v>
      </c>
      <c r="O61" s="6">
        <v>5</v>
      </c>
      <c r="P61" s="8">
        <v>30015</v>
      </c>
      <c r="Q61" s="8">
        <v>5954</v>
      </c>
      <c r="R61" s="6">
        <v>0</v>
      </c>
      <c r="S61" s="6" t="s">
        <v>25</v>
      </c>
      <c r="T61" s="8">
        <v>969</v>
      </c>
    </row>
    <row r="62" spans="1:20" x14ac:dyDescent="0.3">
      <c r="A62" s="2" t="s">
        <v>162</v>
      </c>
      <c r="B62" s="2" t="s">
        <v>80</v>
      </c>
      <c r="C62" s="2" t="s">
        <v>53</v>
      </c>
      <c r="D62" s="2" t="s">
        <v>22</v>
      </c>
      <c r="E62" s="2" t="s">
        <v>163</v>
      </c>
      <c r="F62" s="2" t="s">
        <v>31</v>
      </c>
      <c r="G62" s="2">
        <v>26</v>
      </c>
      <c r="H62" s="2" t="str" cm="1">
        <f t="array" ref="H62">_xlfn.IFS(G62&lt;30,"&lt;30",LoanData!G62&lt;40,"30-40",LoanData!G62&lt;50,"40-50",LoanData!G62&gt;=50,"50+")</f>
        <v>&lt;30</v>
      </c>
      <c r="I62" s="3">
        <v>45375</v>
      </c>
      <c r="J62" s="4">
        <v>257000</v>
      </c>
      <c r="K62" s="2">
        <v>36</v>
      </c>
      <c r="L62" s="5">
        <v>12.6</v>
      </c>
      <c r="M62" s="4">
        <v>8610</v>
      </c>
      <c r="N62" s="2">
        <v>4</v>
      </c>
      <c r="O62" s="2">
        <v>4</v>
      </c>
      <c r="P62" s="4">
        <v>34440</v>
      </c>
      <c r="Q62" s="4">
        <v>232979</v>
      </c>
      <c r="R62" s="2">
        <v>0</v>
      </c>
      <c r="S62" s="2" t="s">
        <v>25</v>
      </c>
      <c r="T62" s="4">
        <v>10419</v>
      </c>
    </row>
    <row r="63" spans="1:20" x14ac:dyDescent="0.3">
      <c r="A63" s="6" t="s">
        <v>164</v>
      </c>
      <c r="B63" s="6" t="s">
        <v>40</v>
      </c>
      <c r="C63" s="6" t="s">
        <v>34</v>
      </c>
      <c r="D63" s="6" t="s">
        <v>22</v>
      </c>
      <c r="E63" s="6" t="s">
        <v>165</v>
      </c>
      <c r="F63" s="6" t="s">
        <v>31</v>
      </c>
      <c r="G63" s="6">
        <v>25</v>
      </c>
      <c r="H63" s="2" t="str" cm="1">
        <f t="array" ref="H63">_xlfn.IFS(G63&lt;30,"&lt;30",LoanData!G63&lt;40,"30-40",LoanData!G63&lt;50,"40-50",LoanData!G63&gt;=50,"50+")</f>
        <v>&lt;30</v>
      </c>
      <c r="I63" s="7">
        <v>45403</v>
      </c>
      <c r="J63" s="8">
        <v>405000</v>
      </c>
      <c r="K63" s="6">
        <v>48</v>
      </c>
      <c r="L63" s="9">
        <v>13.5</v>
      </c>
      <c r="M63" s="8">
        <v>10966</v>
      </c>
      <c r="N63" s="6">
        <v>3</v>
      </c>
      <c r="O63" s="6">
        <v>3</v>
      </c>
      <c r="P63" s="8">
        <v>32898</v>
      </c>
      <c r="Q63" s="8">
        <v>385554</v>
      </c>
      <c r="R63" s="6">
        <v>0</v>
      </c>
      <c r="S63" s="6" t="s">
        <v>25</v>
      </c>
      <c r="T63" s="8">
        <v>13452</v>
      </c>
    </row>
    <row r="64" spans="1:20" x14ac:dyDescent="0.3">
      <c r="A64" s="2" t="s">
        <v>166</v>
      </c>
      <c r="B64" s="2" t="s">
        <v>80</v>
      </c>
      <c r="C64" s="2" t="s">
        <v>53</v>
      </c>
      <c r="D64" s="2" t="s">
        <v>57</v>
      </c>
      <c r="E64" s="2" t="s">
        <v>167</v>
      </c>
      <c r="F64" s="2" t="s">
        <v>31</v>
      </c>
      <c r="G64" s="2">
        <v>25</v>
      </c>
      <c r="H64" s="2" t="str" cm="1">
        <f t="array" ref="H64">_xlfn.IFS(G64&lt;30,"&lt;30",LoanData!G64&lt;40,"30-40",LoanData!G64&lt;50,"40-50",LoanData!G64&gt;=50,"50+")</f>
        <v>&lt;30</v>
      </c>
      <c r="I64" s="3">
        <v>45329</v>
      </c>
      <c r="J64" s="4">
        <v>1587000</v>
      </c>
      <c r="K64" s="2">
        <v>36</v>
      </c>
      <c r="L64" s="5">
        <v>12.1</v>
      </c>
      <c r="M64" s="4">
        <v>52787</v>
      </c>
      <c r="N64" s="2">
        <v>5</v>
      </c>
      <c r="O64" s="2">
        <v>4</v>
      </c>
      <c r="P64" s="4">
        <v>211148</v>
      </c>
      <c r="Q64" s="4">
        <v>1437621</v>
      </c>
      <c r="R64" s="2">
        <v>44</v>
      </c>
      <c r="S64" s="2" t="s">
        <v>47</v>
      </c>
      <c r="T64" s="4">
        <v>61769</v>
      </c>
    </row>
    <row r="65" spans="1:20" x14ac:dyDescent="0.3">
      <c r="A65" s="6" t="s">
        <v>168</v>
      </c>
      <c r="B65" s="6" t="s">
        <v>27</v>
      </c>
      <c r="C65" s="6" t="s">
        <v>28</v>
      </c>
      <c r="D65" s="6" t="s">
        <v>22</v>
      </c>
      <c r="E65" s="6" t="s">
        <v>169</v>
      </c>
      <c r="F65" s="6" t="s">
        <v>31</v>
      </c>
      <c r="G65" s="6">
        <v>40</v>
      </c>
      <c r="H65" s="2" t="str" cm="1">
        <f t="array" ref="H65">_xlfn.IFS(G65&lt;30,"&lt;30",LoanData!G65&lt;40,"30-40",LoanData!G65&lt;50,"40-50",LoanData!G65&gt;=50,"50+")</f>
        <v>40-50</v>
      </c>
      <c r="I65" s="7">
        <v>45463</v>
      </c>
      <c r="J65" s="8">
        <v>448000</v>
      </c>
      <c r="K65" s="6">
        <v>36</v>
      </c>
      <c r="L65" s="9">
        <v>11.4</v>
      </c>
      <c r="M65" s="8">
        <v>14752</v>
      </c>
      <c r="N65" s="6">
        <v>1</v>
      </c>
      <c r="O65" s="6">
        <v>1</v>
      </c>
      <c r="P65" s="8">
        <v>14752</v>
      </c>
      <c r="Q65" s="8">
        <v>437504</v>
      </c>
      <c r="R65" s="6">
        <v>0</v>
      </c>
      <c r="S65" s="6" t="s">
        <v>25</v>
      </c>
      <c r="T65" s="8">
        <v>4256</v>
      </c>
    </row>
    <row r="66" spans="1:20" x14ac:dyDescent="0.3">
      <c r="A66" s="2" t="s">
        <v>170</v>
      </c>
      <c r="B66" s="2" t="s">
        <v>20</v>
      </c>
      <c r="C66" s="2" t="s">
        <v>21</v>
      </c>
      <c r="D66" s="2" t="s">
        <v>22</v>
      </c>
      <c r="E66" s="2" t="s">
        <v>171</v>
      </c>
      <c r="F66" s="2" t="s">
        <v>31</v>
      </c>
      <c r="G66" s="2">
        <v>41</v>
      </c>
      <c r="H66" s="2" t="str" cm="1">
        <f t="array" ref="H66">_xlfn.IFS(G66&lt;30,"&lt;30",LoanData!G66&lt;40,"30-40",LoanData!G66&lt;50,"40-50",LoanData!G66&gt;=50,"50+")</f>
        <v>40-50</v>
      </c>
      <c r="I66" s="3">
        <v>45468</v>
      </c>
      <c r="J66" s="4">
        <v>301000</v>
      </c>
      <c r="K66" s="2">
        <v>48</v>
      </c>
      <c r="L66" s="5">
        <v>11.5</v>
      </c>
      <c r="M66" s="4">
        <v>7853</v>
      </c>
      <c r="N66" s="2">
        <v>1</v>
      </c>
      <c r="O66" s="2">
        <v>1</v>
      </c>
      <c r="P66" s="4">
        <v>7853</v>
      </c>
      <c r="Q66" s="4">
        <v>296032</v>
      </c>
      <c r="R66" s="2">
        <v>0</v>
      </c>
      <c r="S66" s="2" t="s">
        <v>25</v>
      </c>
      <c r="T66" s="4">
        <v>2885</v>
      </c>
    </row>
    <row r="67" spans="1:20" x14ac:dyDescent="0.3">
      <c r="A67" s="6" t="s">
        <v>172</v>
      </c>
      <c r="B67" s="6" t="s">
        <v>27</v>
      </c>
      <c r="C67" s="6" t="s">
        <v>28</v>
      </c>
      <c r="D67" s="6" t="s">
        <v>57</v>
      </c>
      <c r="E67" s="6" t="s">
        <v>173</v>
      </c>
      <c r="F67" s="6" t="s">
        <v>31</v>
      </c>
      <c r="G67" s="6">
        <v>48</v>
      </c>
      <c r="H67" s="2" t="str" cm="1">
        <f t="array" ref="H67">_xlfn.IFS(G67&lt;30,"&lt;30",LoanData!G67&lt;40,"30-40",LoanData!G67&lt;50,"40-50",LoanData!G67&gt;=50,"50+")</f>
        <v>40-50</v>
      </c>
      <c r="I67" s="7">
        <v>45312</v>
      </c>
      <c r="J67" s="8">
        <v>1494000</v>
      </c>
      <c r="K67" s="6">
        <v>60</v>
      </c>
      <c r="L67" s="9">
        <v>13.2</v>
      </c>
      <c r="M67" s="8">
        <v>34146</v>
      </c>
      <c r="N67" s="6">
        <v>6</v>
      </c>
      <c r="O67" s="6">
        <v>6</v>
      </c>
      <c r="P67" s="8">
        <v>204876</v>
      </c>
      <c r="Q67" s="8">
        <v>1384761</v>
      </c>
      <c r="R67" s="6">
        <v>0</v>
      </c>
      <c r="S67" s="6" t="s">
        <v>25</v>
      </c>
      <c r="T67" s="8">
        <v>95637</v>
      </c>
    </row>
    <row r="68" spans="1:20" x14ac:dyDescent="0.3">
      <c r="A68" s="2" t="s">
        <v>174</v>
      </c>
      <c r="B68" s="2" t="s">
        <v>52</v>
      </c>
      <c r="C68" s="2" t="s">
        <v>53</v>
      </c>
      <c r="D68" s="2" t="s">
        <v>49</v>
      </c>
      <c r="E68" s="2" t="s">
        <v>175</v>
      </c>
      <c r="F68" s="2" t="s">
        <v>31</v>
      </c>
      <c r="G68" s="2">
        <v>36</v>
      </c>
      <c r="H68" s="2" t="str" cm="1">
        <f t="array" ref="H68">_xlfn.IFS(G68&lt;30,"&lt;30",LoanData!G68&lt;40,"30-40",LoanData!G68&lt;50,"40-50",LoanData!G68&gt;=50,"50+")</f>
        <v>30-40</v>
      </c>
      <c r="I68" s="3">
        <v>45389</v>
      </c>
      <c r="J68" s="4">
        <v>625000</v>
      </c>
      <c r="K68" s="2">
        <v>24</v>
      </c>
      <c r="L68" s="5">
        <v>11.9</v>
      </c>
      <c r="M68" s="4">
        <v>29392</v>
      </c>
      <c r="N68" s="2">
        <v>3</v>
      </c>
      <c r="O68" s="2">
        <v>3</v>
      </c>
      <c r="P68" s="4">
        <v>88176</v>
      </c>
      <c r="Q68" s="4">
        <v>554726</v>
      </c>
      <c r="R68" s="2">
        <v>0</v>
      </c>
      <c r="S68" s="2" t="s">
        <v>25</v>
      </c>
      <c r="T68" s="4">
        <v>17902</v>
      </c>
    </row>
    <row r="69" spans="1:20" x14ac:dyDescent="0.3">
      <c r="A69" s="6" t="s">
        <v>176</v>
      </c>
      <c r="B69" s="6" t="s">
        <v>60</v>
      </c>
      <c r="C69" s="6" t="s">
        <v>21</v>
      </c>
      <c r="D69" s="6" t="s">
        <v>22</v>
      </c>
      <c r="E69" s="6" t="s">
        <v>177</v>
      </c>
      <c r="F69" s="6" t="s">
        <v>42</v>
      </c>
      <c r="G69" s="6">
        <v>47</v>
      </c>
      <c r="H69" s="2" t="str" cm="1">
        <f t="array" ref="H69">_xlfn.IFS(G69&lt;30,"&lt;30",LoanData!G69&lt;40,"30-40",LoanData!G69&lt;50,"40-50",LoanData!G69&gt;=50,"50+")</f>
        <v>40-50</v>
      </c>
      <c r="I69" s="7">
        <v>45296</v>
      </c>
      <c r="J69" s="8">
        <v>633000</v>
      </c>
      <c r="K69" s="6">
        <v>24</v>
      </c>
      <c r="L69" s="9">
        <v>13.7</v>
      </c>
      <c r="M69" s="8">
        <v>30303</v>
      </c>
      <c r="N69" s="6">
        <v>6</v>
      </c>
      <c r="O69" s="6">
        <v>6</v>
      </c>
      <c r="P69" s="8">
        <v>181818</v>
      </c>
      <c r="Q69" s="8">
        <v>490533</v>
      </c>
      <c r="R69" s="6">
        <v>0</v>
      </c>
      <c r="S69" s="6" t="s">
        <v>25</v>
      </c>
      <c r="T69" s="8">
        <v>39351</v>
      </c>
    </row>
    <row r="70" spans="1:20" x14ac:dyDescent="0.3">
      <c r="A70" s="2" t="s">
        <v>178</v>
      </c>
      <c r="B70" s="2" t="s">
        <v>27</v>
      </c>
      <c r="C70" s="2" t="s">
        <v>28</v>
      </c>
      <c r="D70" s="2" t="s">
        <v>22</v>
      </c>
      <c r="E70" s="2" t="s">
        <v>179</v>
      </c>
      <c r="F70" s="2" t="s">
        <v>42</v>
      </c>
      <c r="G70" s="2">
        <v>43</v>
      </c>
      <c r="H70" s="2" t="str" cm="1">
        <f t="array" ref="H70">_xlfn.IFS(G70&lt;30,"&lt;30",LoanData!G70&lt;40,"30-40",LoanData!G70&lt;50,"40-50",LoanData!G70&gt;=50,"50+")</f>
        <v>40-50</v>
      </c>
      <c r="I70" s="3">
        <v>45297</v>
      </c>
      <c r="J70" s="4">
        <v>255000</v>
      </c>
      <c r="K70" s="2">
        <v>24</v>
      </c>
      <c r="L70" s="5">
        <v>11.9</v>
      </c>
      <c r="M70" s="4">
        <v>11992</v>
      </c>
      <c r="N70" s="2">
        <v>6</v>
      </c>
      <c r="O70" s="2">
        <v>6</v>
      </c>
      <c r="P70" s="4">
        <v>71952</v>
      </c>
      <c r="Q70" s="4">
        <v>196795</v>
      </c>
      <c r="R70" s="2">
        <v>0</v>
      </c>
      <c r="S70" s="2" t="s">
        <v>25</v>
      </c>
      <c r="T70" s="4">
        <v>13747</v>
      </c>
    </row>
    <row r="71" spans="1:20" x14ac:dyDescent="0.3">
      <c r="A71" s="6" t="s">
        <v>180</v>
      </c>
      <c r="B71" s="6" t="s">
        <v>80</v>
      </c>
      <c r="C71" s="6" t="s">
        <v>53</v>
      </c>
      <c r="D71" s="6" t="s">
        <v>29</v>
      </c>
      <c r="E71" s="6" t="s">
        <v>181</v>
      </c>
      <c r="F71" s="6" t="s">
        <v>42</v>
      </c>
      <c r="G71" s="6">
        <v>30</v>
      </c>
      <c r="H71" s="2" t="str" cm="1">
        <f t="array" ref="H71">_xlfn.IFS(G71&lt;30,"&lt;30",LoanData!G71&lt;40,"30-40",LoanData!G71&lt;50,"40-50",LoanData!G71&gt;=50,"50+")</f>
        <v>30-40</v>
      </c>
      <c r="I71" s="7">
        <v>45363</v>
      </c>
      <c r="J71" s="8">
        <v>136000</v>
      </c>
      <c r="K71" s="6">
        <v>24</v>
      </c>
      <c r="L71" s="9">
        <v>10.199999999999999</v>
      </c>
      <c r="M71" s="8">
        <v>6288</v>
      </c>
      <c r="N71" s="6">
        <v>4</v>
      </c>
      <c r="O71" s="6">
        <v>0</v>
      </c>
      <c r="P71" s="8">
        <v>0</v>
      </c>
      <c r="Q71" s="8">
        <v>136000</v>
      </c>
      <c r="R71" s="6">
        <v>195</v>
      </c>
      <c r="S71" s="6" t="s">
        <v>55</v>
      </c>
      <c r="T71" s="8">
        <v>0</v>
      </c>
    </row>
    <row r="72" spans="1:20" x14ac:dyDescent="0.3">
      <c r="A72" s="2" t="s">
        <v>182</v>
      </c>
      <c r="B72" s="2" t="s">
        <v>80</v>
      </c>
      <c r="C72" s="2" t="s">
        <v>53</v>
      </c>
      <c r="D72" s="2" t="s">
        <v>29</v>
      </c>
      <c r="E72" s="2" t="s">
        <v>183</v>
      </c>
      <c r="F72" s="2" t="s">
        <v>31</v>
      </c>
      <c r="G72" s="2">
        <v>56</v>
      </c>
      <c r="H72" s="2" t="str" cm="1">
        <f t="array" ref="H72">_xlfn.IFS(G72&lt;30,"&lt;30",LoanData!G72&lt;40,"30-40",LoanData!G72&lt;50,"40-50",LoanData!G72&gt;=50,"50+")</f>
        <v>50+</v>
      </c>
      <c r="I72" s="3">
        <v>45372</v>
      </c>
      <c r="J72" s="4">
        <v>267000</v>
      </c>
      <c r="K72" s="2">
        <v>12</v>
      </c>
      <c r="L72" s="5">
        <v>9.8000000000000007</v>
      </c>
      <c r="M72" s="4">
        <v>23449</v>
      </c>
      <c r="N72" s="2">
        <v>4</v>
      </c>
      <c r="O72" s="2">
        <v>4</v>
      </c>
      <c r="P72" s="4">
        <v>93796</v>
      </c>
      <c r="Q72" s="4">
        <v>180879</v>
      </c>
      <c r="R72" s="2">
        <v>0</v>
      </c>
      <c r="S72" s="2" t="s">
        <v>25</v>
      </c>
      <c r="T72" s="4">
        <v>7675</v>
      </c>
    </row>
    <row r="73" spans="1:20" x14ac:dyDescent="0.3">
      <c r="A73" s="6" t="s">
        <v>184</v>
      </c>
      <c r="B73" s="6" t="s">
        <v>52</v>
      </c>
      <c r="C73" s="6" t="s">
        <v>53</v>
      </c>
      <c r="D73" s="6" t="s">
        <v>57</v>
      </c>
      <c r="E73" s="6" t="s">
        <v>185</v>
      </c>
      <c r="F73" s="6" t="s">
        <v>31</v>
      </c>
      <c r="G73" s="6">
        <v>44</v>
      </c>
      <c r="H73" s="2" t="str" cm="1">
        <f t="array" ref="H73">_xlfn.IFS(G73&lt;30,"&lt;30",LoanData!G73&lt;40,"30-40",LoanData!G73&lt;50,"40-50",LoanData!G73&gt;=50,"50+")</f>
        <v>40-50</v>
      </c>
      <c r="I73" s="7">
        <v>45297</v>
      </c>
      <c r="J73" s="8">
        <v>1673000</v>
      </c>
      <c r="K73" s="6">
        <v>36</v>
      </c>
      <c r="L73" s="9">
        <v>13.1</v>
      </c>
      <c r="M73" s="8">
        <v>56451</v>
      </c>
      <c r="N73" s="6">
        <v>6</v>
      </c>
      <c r="O73" s="6">
        <v>6</v>
      </c>
      <c r="P73" s="8">
        <v>338706</v>
      </c>
      <c r="Q73" s="8">
        <v>1437533</v>
      </c>
      <c r="R73" s="6">
        <v>0</v>
      </c>
      <c r="S73" s="6" t="s">
        <v>25</v>
      </c>
      <c r="T73" s="8">
        <v>103239</v>
      </c>
    </row>
    <row r="74" spans="1:20" x14ac:dyDescent="0.3">
      <c r="A74" s="2" t="s">
        <v>186</v>
      </c>
      <c r="B74" s="2" t="s">
        <v>60</v>
      </c>
      <c r="C74" s="2" t="s">
        <v>21</v>
      </c>
      <c r="D74" s="2" t="s">
        <v>35</v>
      </c>
      <c r="E74" s="2" t="s">
        <v>187</v>
      </c>
      <c r="F74" s="2" t="s">
        <v>42</v>
      </c>
      <c r="G74" s="2">
        <v>58</v>
      </c>
      <c r="H74" s="2" t="str" cm="1">
        <f t="array" ref="H74">_xlfn.IFS(G74&lt;30,"&lt;30",LoanData!G74&lt;40,"30-40",LoanData!G74&lt;50,"40-50",LoanData!G74&gt;=50,"50+")</f>
        <v>50+</v>
      </c>
      <c r="I74" s="3">
        <v>45350</v>
      </c>
      <c r="J74" s="4">
        <v>411000</v>
      </c>
      <c r="K74" s="2">
        <v>36</v>
      </c>
      <c r="L74" s="5">
        <v>14.7</v>
      </c>
      <c r="M74" s="4">
        <v>14187</v>
      </c>
      <c r="N74" s="2">
        <v>5</v>
      </c>
      <c r="O74" s="2">
        <v>0</v>
      </c>
      <c r="P74" s="4">
        <v>0</v>
      </c>
      <c r="Q74" s="4">
        <v>411000</v>
      </c>
      <c r="R74" s="2">
        <v>173</v>
      </c>
      <c r="S74" s="2" t="s">
        <v>55</v>
      </c>
      <c r="T74" s="4">
        <v>0</v>
      </c>
    </row>
    <row r="75" spans="1:20" x14ac:dyDescent="0.3">
      <c r="A75" s="6" t="s">
        <v>188</v>
      </c>
      <c r="B75" s="6" t="s">
        <v>60</v>
      </c>
      <c r="C75" s="6" t="s">
        <v>21</v>
      </c>
      <c r="D75" s="6" t="s">
        <v>35</v>
      </c>
      <c r="E75" s="6" t="s">
        <v>189</v>
      </c>
      <c r="F75" s="6" t="s">
        <v>24</v>
      </c>
      <c r="G75" s="6">
        <v>43</v>
      </c>
      <c r="H75" s="2" t="str" cm="1">
        <f t="array" ref="H75">_xlfn.IFS(G75&lt;30,"&lt;30",LoanData!G75&lt;40,"30-40",LoanData!G75&lt;50,"40-50",LoanData!G75&gt;=50,"50+")</f>
        <v>40-50</v>
      </c>
      <c r="I75" s="7">
        <v>45346</v>
      </c>
      <c r="J75" s="8">
        <v>128000</v>
      </c>
      <c r="K75" s="6">
        <v>24</v>
      </c>
      <c r="L75" s="9">
        <v>16.899999999999999</v>
      </c>
      <c r="M75" s="8">
        <v>6322</v>
      </c>
      <c r="N75" s="6">
        <v>5</v>
      </c>
      <c r="O75" s="6">
        <v>4</v>
      </c>
      <c r="P75" s="8">
        <v>25288</v>
      </c>
      <c r="Q75" s="8">
        <v>109535</v>
      </c>
      <c r="R75" s="6">
        <v>38</v>
      </c>
      <c r="S75" s="6" t="s">
        <v>47</v>
      </c>
      <c r="T75" s="8">
        <v>6823</v>
      </c>
    </row>
    <row r="76" spans="1:20" x14ac:dyDescent="0.3">
      <c r="A76" s="2" t="s">
        <v>190</v>
      </c>
      <c r="B76" s="2" t="s">
        <v>27</v>
      </c>
      <c r="C76" s="2" t="s">
        <v>28</v>
      </c>
      <c r="D76" s="2" t="s">
        <v>29</v>
      </c>
      <c r="E76" s="2" t="s">
        <v>191</v>
      </c>
      <c r="F76" s="2" t="s">
        <v>31</v>
      </c>
      <c r="G76" s="2">
        <v>28</v>
      </c>
      <c r="H76" s="2" t="str" cm="1">
        <f t="array" ref="H76">_xlfn.IFS(G76&lt;30,"&lt;30",LoanData!G76&lt;40,"30-40",LoanData!G76&lt;50,"40-50",LoanData!G76&gt;=50,"50+")</f>
        <v>&lt;30</v>
      </c>
      <c r="I76" s="3">
        <v>45427</v>
      </c>
      <c r="J76" s="4">
        <v>110000</v>
      </c>
      <c r="K76" s="2">
        <v>12</v>
      </c>
      <c r="L76" s="5">
        <v>9.9</v>
      </c>
      <c r="M76" s="4">
        <v>9666</v>
      </c>
      <c r="N76" s="2">
        <v>2</v>
      </c>
      <c r="O76" s="2">
        <v>2</v>
      </c>
      <c r="P76" s="4">
        <v>19332</v>
      </c>
      <c r="Q76" s="4">
        <v>92411</v>
      </c>
      <c r="R76" s="2">
        <v>0</v>
      </c>
      <c r="S76" s="2" t="s">
        <v>25</v>
      </c>
      <c r="T76" s="4">
        <v>1743</v>
      </c>
    </row>
    <row r="77" spans="1:20" x14ac:dyDescent="0.3">
      <c r="A77" s="6" t="s">
        <v>192</v>
      </c>
      <c r="B77" s="6" t="s">
        <v>60</v>
      </c>
      <c r="C77" s="6" t="s">
        <v>21</v>
      </c>
      <c r="D77" s="6" t="s">
        <v>49</v>
      </c>
      <c r="E77" s="6" t="s">
        <v>193</v>
      </c>
      <c r="F77" s="6" t="s">
        <v>24</v>
      </c>
      <c r="G77" s="6">
        <v>28</v>
      </c>
      <c r="H77" s="2" t="str" cm="1">
        <f t="array" ref="H77">_xlfn.IFS(G77&lt;30,"&lt;30",LoanData!G77&lt;40,"30-40",LoanData!G77&lt;50,"40-50",LoanData!G77&gt;=50,"50+")</f>
        <v>&lt;30</v>
      </c>
      <c r="I77" s="7">
        <v>45461</v>
      </c>
      <c r="J77" s="8">
        <v>379000</v>
      </c>
      <c r="K77" s="6">
        <v>60</v>
      </c>
      <c r="L77" s="9">
        <v>11.2</v>
      </c>
      <c r="M77" s="8">
        <v>8278</v>
      </c>
      <c r="N77" s="6">
        <v>1</v>
      </c>
      <c r="O77" s="6">
        <v>1</v>
      </c>
      <c r="P77" s="8">
        <v>8278</v>
      </c>
      <c r="Q77" s="8">
        <v>374259</v>
      </c>
      <c r="R77" s="6">
        <v>0</v>
      </c>
      <c r="S77" s="6" t="s">
        <v>25</v>
      </c>
      <c r="T77" s="8">
        <v>3537</v>
      </c>
    </row>
    <row r="78" spans="1:20" x14ac:dyDescent="0.3">
      <c r="A78" s="2" t="s">
        <v>194</v>
      </c>
      <c r="B78" s="2" t="s">
        <v>60</v>
      </c>
      <c r="C78" s="2" t="s">
        <v>21</v>
      </c>
      <c r="D78" s="2" t="s">
        <v>49</v>
      </c>
      <c r="E78" s="2" t="s">
        <v>195</v>
      </c>
      <c r="F78" s="2" t="s">
        <v>24</v>
      </c>
      <c r="G78" s="2">
        <v>56</v>
      </c>
      <c r="H78" s="2" t="str" cm="1">
        <f t="array" ref="H78">_xlfn.IFS(G78&lt;30,"&lt;30",LoanData!G78&lt;40,"30-40",LoanData!G78&lt;50,"40-50",LoanData!G78&gt;=50,"50+")</f>
        <v>50+</v>
      </c>
      <c r="I78" s="3">
        <v>45346</v>
      </c>
      <c r="J78" s="4">
        <v>653000</v>
      </c>
      <c r="K78" s="2">
        <v>24</v>
      </c>
      <c r="L78" s="5">
        <v>13.9</v>
      </c>
      <c r="M78" s="4">
        <v>31322</v>
      </c>
      <c r="N78" s="2">
        <v>5</v>
      </c>
      <c r="O78" s="2">
        <v>5</v>
      </c>
      <c r="P78" s="4">
        <v>156610</v>
      </c>
      <c r="Q78" s="4">
        <v>531428</v>
      </c>
      <c r="R78" s="2">
        <v>0</v>
      </c>
      <c r="S78" s="2" t="s">
        <v>25</v>
      </c>
      <c r="T78" s="4">
        <v>35038</v>
      </c>
    </row>
    <row r="79" spans="1:20" x14ac:dyDescent="0.3">
      <c r="A79" s="6" t="s">
        <v>196</v>
      </c>
      <c r="B79" s="6" t="s">
        <v>65</v>
      </c>
      <c r="C79" s="6" t="s">
        <v>28</v>
      </c>
      <c r="D79" s="6" t="s">
        <v>35</v>
      </c>
      <c r="E79" s="6" t="s">
        <v>197</v>
      </c>
      <c r="F79" s="6" t="s">
        <v>24</v>
      </c>
      <c r="G79" s="6">
        <v>51</v>
      </c>
      <c r="H79" s="2" t="str" cm="1">
        <f t="array" ref="H79">_xlfn.IFS(G79&lt;30,"&lt;30",LoanData!G79&lt;40,"30-40",LoanData!G79&lt;50,"40-50",LoanData!G79&gt;=50,"50+")</f>
        <v>50+</v>
      </c>
      <c r="I79" s="7">
        <v>45406</v>
      </c>
      <c r="J79" s="8">
        <v>308000</v>
      </c>
      <c r="K79" s="6">
        <v>36</v>
      </c>
      <c r="L79" s="9">
        <v>15.5</v>
      </c>
      <c r="M79" s="8">
        <v>10752</v>
      </c>
      <c r="N79" s="6">
        <v>3</v>
      </c>
      <c r="O79" s="6">
        <v>1</v>
      </c>
      <c r="P79" s="8">
        <v>10752</v>
      </c>
      <c r="Q79" s="8">
        <v>301226</v>
      </c>
      <c r="R79" s="6">
        <v>73</v>
      </c>
      <c r="S79" s="6" t="s">
        <v>47</v>
      </c>
      <c r="T79" s="8">
        <v>3978</v>
      </c>
    </row>
    <row r="80" spans="1:20" x14ac:dyDescent="0.3">
      <c r="A80" s="2" t="s">
        <v>198</v>
      </c>
      <c r="B80" s="2" t="s">
        <v>52</v>
      </c>
      <c r="C80" s="2" t="s">
        <v>53</v>
      </c>
      <c r="D80" s="2" t="s">
        <v>29</v>
      </c>
      <c r="E80" s="2" t="s">
        <v>199</v>
      </c>
      <c r="F80" s="2" t="s">
        <v>24</v>
      </c>
      <c r="G80" s="2">
        <v>43</v>
      </c>
      <c r="H80" s="2" t="str" cm="1">
        <f t="array" ref="H80">_xlfn.IFS(G80&lt;30,"&lt;30",LoanData!G80&lt;40,"30-40",LoanData!G80&lt;50,"40-50",LoanData!G80&gt;=50,"50+")</f>
        <v>40-50</v>
      </c>
      <c r="I80" s="3">
        <v>45421</v>
      </c>
      <c r="J80" s="4">
        <v>39000</v>
      </c>
      <c r="K80" s="2">
        <v>6</v>
      </c>
      <c r="L80" s="5">
        <v>11.7</v>
      </c>
      <c r="M80" s="4">
        <v>6724</v>
      </c>
      <c r="N80" s="2">
        <v>2</v>
      </c>
      <c r="O80" s="2">
        <v>2</v>
      </c>
      <c r="P80" s="4">
        <v>13448</v>
      </c>
      <c r="Q80" s="4">
        <v>26251</v>
      </c>
      <c r="R80" s="2">
        <v>0</v>
      </c>
      <c r="S80" s="2" t="s">
        <v>25</v>
      </c>
      <c r="T80" s="4">
        <v>699</v>
      </c>
    </row>
    <row r="81" spans="1:20" x14ac:dyDescent="0.3">
      <c r="A81" s="6" t="s">
        <v>200</v>
      </c>
      <c r="B81" s="6" t="s">
        <v>40</v>
      </c>
      <c r="C81" s="6" t="s">
        <v>34</v>
      </c>
      <c r="D81" s="6" t="s">
        <v>29</v>
      </c>
      <c r="E81" s="6" t="s">
        <v>201</v>
      </c>
      <c r="F81" s="6" t="s">
        <v>42</v>
      </c>
      <c r="G81" s="6">
        <v>35</v>
      </c>
      <c r="H81" s="2" t="str" cm="1">
        <f t="array" ref="H81">_xlfn.IFS(G81&lt;30,"&lt;30",LoanData!G81&lt;40,"30-40",LoanData!G81&lt;50,"40-50",LoanData!G81&gt;=50,"50+")</f>
        <v>30-40</v>
      </c>
      <c r="I81" s="7">
        <v>45337</v>
      </c>
      <c r="J81" s="8">
        <v>169000</v>
      </c>
      <c r="K81" s="6">
        <v>6</v>
      </c>
      <c r="L81" s="9">
        <v>9.1999999999999993</v>
      </c>
      <c r="M81" s="8">
        <v>28927</v>
      </c>
      <c r="N81" s="6">
        <v>5</v>
      </c>
      <c r="O81" s="6">
        <v>5</v>
      </c>
      <c r="P81" s="8">
        <v>144635</v>
      </c>
      <c r="Q81" s="8">
        <v>28707</v>
      </c>
      <c r="R81" s="6">
        <v>0</v>
      </c>
      <c r="S81" s="6" t="s">
        <v>25</v>
      </c>
      <c r="T81" s="8">
        <v>4342</v>
      </c>
    </row>
    <row r="82" spans="1:20" x14ac:dyDescent="0.3">
      <c r="A82" s="2" t="s">
        <v>202</v>
      </c>
      <c r="B82" s="2" t="s">
        <v>52</v>
      </c>
      <c r="C82" s="2" t="s">
        <v>53</v>
      </c>
      <c r="D82" s="2" t="s">
        <v>49</v>
      </c>
      <c r="E82" s="2" t="s">
        <v>203</v>
      </c>
      <c r="F82" s="2" t="s">
        <v>24</v>
      </c>
      <c r="G82" s="2">
        <v>53</v>
      </c>
      <c r="H82" s="2" t="str" cm="1">
        <f t="array" ref="H82">_xlfn.IFS(G82&lt;30,"&lt;30",LoanData!G82&lt;40,"30-40",LoanData!G82&lt;50,"40-50",LoanData!G82&gt;=50,"50+")</f>
        <v>50+</v>
      </c>
      <c r="I82" s="3">
        <v>45426</v>
      </c>
      <c r="J82" s="4">
        <v>405000</v>
      </c>
      <c r="K82" s="2">
        <v>48</v>
      </c>
      <c r="L82" s="5">
        <v>14.1</v>
      </c>
      <c r="M82" s="4">
        <v>11088</v>
      </c>
      <c r="N82" s="2">
        <v>2</v>
      </c>
      <c r="O82" s="2">
        <v>2</v>
      </c>
      <c r="P82" s="4">
        <v>22176</v>
      </c>
      <c r="Q82" s="4">
        <v>392268</v>
      </c>
      <c r="R82" s="2">
        <v>0</v>
      </c>
      <c r="S82" s="2" t="s">
        <v>25</v>
      </c>
      <c r="T82" s="4">
        <v>9444</v>
      </c>
    </row>
    <row r="83" spans="1:20" x14ac:dyDescent="0.3">
      <c r="A83" s="6" t="s">
        <v>204</v>
      </c>
      <c r="B83" s="6" t="s">
        <v>52</v>
      </c>
      <c r="C83" s="6" t="s">
        <v>53</v>
      </c>
      <c r="D83" s="6" t="s">
        <v>57</v>
      </c>
      <c r="E83" s="6" t="s">
        <v>205</v>
      </c>
      <c r="F83" s="6" t="s">
        <v>31</v>
      </c>
      <c r="G83" s="6">
        <v>34</v>
      </c>
      <c r="H83" s="2" t="str" cm="1">
        <f t="array" ref="H83">_xlfn.IFS(G83&lt;30,"&lt;30",LoanData!G83&lt;40,"30-40",LoanData!G83&lt;50,"40-50",LoanData!G83&gt;=50,"50+")</f>
        <v>30-40</v>
      </c>
      <c r="I83" s="7">
        <v>45378</v>
      </c>
      <c r="J83" s="8">
        <v>1958000</v>
      </c>
      <c r="K83" s="6">
        <v>36</v>
      </c>
      <c r="L83" s="9">
        <v>14.1</v>
      </c>
      <c r="M83" s="8">
        <v>67015</v>
      </c>
      <c r="N83" s="6">
        <v>4</v>
      </c>
      <c r="O83" s="6">
        <v>4</v>
      </c>
      <c r="P83" s="8">
        <v>268060</v>
      </c>
      <c r="Q83" s="8">
        <v>1778839</v>
      </c>
      <c r="R83" s="6">
        <v>0</v>
      </c>
      <c r="S83" s="6" t="s">
        <v>25</v>
      </c>
      <c r="T83" s="8">
        <v>88899</v>
      </c>
    </row>
    <row r="84" spans="1:20" x14ac:dyDescent="0.3">
      <c r="A84" s="2" t="s">
        <v>206</v>
      </c>
      <c r="B84" s="2" t="s">
        <v>33</v>
      </c>
      <c r="C84" s="2" t="s">
        <v>34</v>
      </c>
      <c r="D84" s="2" t="s">
        <v>57</v>
      </c>
      <c r="E84" s="2" t="s">
        <v>207</v>
      </c>
      <c r="F84" s="2" t="s">
        <v>24</v>
      </c>
      <c r="G84" s="2">
        <v>27</v>
      </c>
      <c r="H84" s="2" t="str" cm="1">
        <f t="array" ref="H84">_xlfn.IFS(G84&lt;30,"&lt;30",LoanData!G84&lt;40,"30-40",LoanData!G84&lt;50,"40-50",LoanData!G84&gt;=50,"50+")</f>
        <v>&lt;30</v>
      </c>
      <c r="I84" s="3">
        <v>45340</v>
      </c>
      <c r="J84" s="4">
        <v>1104000</v>
      </c>
      <c r="K84" s="2">
        <v>24</v>
      </c>
      <c r="L84" s="5">
        <v>12.3</v>
      </c>
      <c r="M84" s="4">
        <v>52124</v>
      </c>
      <c r="N84" s="2">
        <v>5</v>
      </c>
      <c r="O84" s="2">
        <v>2</v>
      </c>
      <c r="P84" s="4">
        <v>104248</v>
      </c>
      <c r="Q84" s="4">
        <v>1021966</v>
      </c>
      <c r="R84" s="2">
        <v>93</v>
      </c>
      <c r="S84" s="2" t="s">
        <v>55</v>
      </c>
      <c r="T84" s="4">
        <v>22214</v>
      </c>
    </row>
    <row r="85" spans="1:20" x14ac:dyDescent="0.3">
      <c r="A85" s="6" t="s">
        <v>208</v>
      </c>
      <c r="B85" s="6" t="s">
        <v>20</v>
      </c>
      <c r="C85" s="6" t="s">
        <v>21</v>
      </c>
      <c r="D85" s="6" t="s">
        <v>22</v>
      </c>
      <c r="E85" s="6" t="s">
        <v>209</v>
      </c>
      <c r="F85" s="6" t="s">
        <v>24</v>
      </c>
      <c r="G85" s="6">
        <v>34</v>
      </c>
      <c r="H85" s="2" t="str" cm="1">
        <f t="array" ref="H85">_xlfn.IFS(G85&lt;30,"&lt;30",LoanData!G85&lt;40,"30-40",LoanData!G85&lt;50,"40-50",LoanData!G85&gt;=50,"50+")</f>
        <v>30-40</v>
      </c>
      <c r="I85" s="7">
        <v>45389</v>
      </c>
      <c r="J85" s="8">
        <v>1495000</v>
      </c>
      <c r="K85" s="6">
        <v>36</v>
      </c>
      <c r="L85" s="9">
        <v>13.4</v>
      </c>
      <c r="M85" s="8">
        <v>50661</v>
      </c>
      <c r="N85" s="6">
        <v>3</v>
      </c>
      <c r="O85" s="6">
        <v>0</v>
      </c>
      <c r="P85" s="8">
        <v>0</v>
      </c>
      <c r="Q85" s="8">
        <v>1495000</v>
      </c>
      <c r="R85" s="6">
        <v>165</v>
      </c>
      <c r="S85" s="6" t="s">
        <v>55</v>
      </c>
      <c r="T85" s="8">
        <v>0</v>
      </c>
    </row>
    <row r="86" spans="1:20" x14ac:dyDescent="0.3">
      <c r="A86" s="2" t="s">
        <v>210</v>
      </c>
      <c r="B86" s="2" t="s">
        <v>33</v>
      </c>
      <c r="C86" s="2" t="s">
        <v>34</v>
      </c>
      <c r="D86" s="2" t="s">
        <v>57</v>
      </c>
      <c r="E86" s="2" t="s">
        <v>211</v>
      </c>
      <c r="F86" s="2" t="s">
        <v>42</v>
      </c>
      <c r="G86" s="2">
        <v>48</v>
      </c>
      <c r="H86" s="2" t="str" cm="1">
        <f t="array" ref="H86">_xlfn.IFS(G86&lt;30,"&lt;30",LoanData!G86&lt;40,"30-40",LoanData!G86&lt;50,"40-50",LoanData!G86&gt;=50,"50+")</f>
        <v>40-50</v>
      </c>
      <c r="I86" s="3">
        <v>45392</v>
      </c>
      <c r="J86" s="4">
        <v>1805000</v>
      </c>
      <c r="K86" s="2">
        <v>48</v>
      </c>
      <c r="L86" s="5">
        <v>14.6</v>
      </c>
      <c r="M86" s="4">
        <v>49869</v>
      </c>
      <c r="N86" s="2">
        <v>3</v>
      </c>
      <c r="O86" s="2">
        <v>3</v>
      </c>
      <c r="P86" s="4">
        <v>149607</v>
      </c>
      <c r="Q86" s="4">
        <v>1720252</v>
      </c>
      <c r="R86" s="2">
        <v>0</v>
      </c>
      <c r="S86" s="2" t="s">
        <v>25</v>
      </c>
      <c r="T86" s="4">
        <v>64859</v>
      </c>
    </row>
    <row r="87" spans="1:20" x14ac:dyDescent="0.3">
      <c r="A87" s="6" t="s">
        <v>212</v>
      </c>
      <c r="B87" s="6" t="s">
        <v>60</v>
      </c>
      <c r="C87" s="6" t="s">
        <v>21</v>
      </c>
      <c r="D87" s="6" t="s">
        <v>29</v>
      </c>
      <c r="E87" s="6" t="s">
        <v>213</v>
      </c>
      <c r="F87" s="6" t="s">
        <v>24</v>
      </c>
      <c r="G87" s="6">
        <v>55</v>
      </c>
      <c r="H87" s="2" t="str" cm="1">
        <f t="array" ref="H87">_xlfn.IFS(G87&lt;30,"&lt;30",LoanData!G87&lt;40,"30-40",LoanData!G87&lt;50,"40-50",LoanData!G87&gt;=50,"50+")</f>
        <v>50+</v>
      </c>
      <c r="I87" s="7">
        <v>45300</v>
      </c>
      <c r="J87" s="8">
        <v>91000</v>
      </c>
      <c r="K87" s="6">
        <v>24</v>
      </c>
      <c r="L87" s="9">
        <v>11.9</v>
      </c>
      <c r="M87" s="8">
        <v>4279</v>
      </c>
      <c r="N87" s="6">
        <v>6</v>
      </c>
      <c r="O87" s="6">
        <v>6</v>
      </c>
      <c r="P87" s="8">
        <v>25674</v>
      </c>
      <c r="Q87" s="8">
        <v>70229</v>
      </c>
      <c r="R87" s="6">
        <v>0</v>
      </c>
      <c r="S87" s="6" t="s">
        <v>25</v>
      </c>
      <c r="T87" s="8">
        <v>4903</v>
      </c>
    </row>
    <row r="88" spans="1:20" x14ac:dyDescent="0.3">
      <c r="A88" s="2" t="s">
        <v>214</v>
      </c>
      <c r="B88" s="2" t="s">
        <v>60</v>
      </c>
      <c r="C88" s="2" t="s">
        <v>21</v>
      </c>
      <c r="D88" s="2" t="s">
        <v>35</v>
      </c>
      <c r="E88" s="2" t="s">
        <v>215</v>
      </c>
      <c r="F88" s="2" t="s">
        <v>31</v>
      </c>
      <c r="G88" s="2">
        <v>34</v>
      </c>
      <c r="H88" s="2" t="str" cm="1">
        <f t="array" ref="H88">_xlfn.IFS(G88&lt;30,"&lt;30",LoanData!G88&lt;40,"30-40",LoanData!G88&lt;50,"40-50",LoanData!G88&gt;=50,"50+")</f>
        <v>30-40</v>
      </c>
      <c r="I88" s="3">
        <v>45371</v>
      </c>
      <c r="J88" s="4">
        <v>201000</v>
      </c>
      <c r="K88" s="2">
        <v>12</v>
      </c>
      <c r="L88" s="5">
        <v>17.2</v>
      </c>
      <c r="M88" s="4">
        <v>18351</v>
      </c>
      <c r="N88" s="2">
        <v>4</v>
      </c>
      <c r="O88" s="2">
        <v>4</v>
      </c>
      <c r="P88" s="4">
        <v>73404</v>
      </c>
      <c r="Q88" s="4">
        <v>137776</v>
      </c>
      <c r="R88" s="2">
        <v>0</v>
      </c>
      <c r="S88" s="2" t="s">
        <v>25</v>
      </c>
      <c r="T88" s="4">
        <v>10180</v>
      </c>
    </row>
    <row r="89" spans="1:20" x14ac:dyDescent="0.3">
      <c r="A89" s="6" t="s">
        <v>216</v>
      </c>
      <c r="B89" s="6" t="s">
        <v>27</v>
      </c>
      <c r="C89" s="6" t="s">
        <v>28</v>
      </c>
      <c r="D89" s="6" t="s">
        <v>35</v>
      </c>
      <c r="E89" s="6" t="s">
        <v>217</v>
      </c>
      <c r="F89" s="6" t="s">
        <v>42</v>
      </c>
      <c r="G89" s="6">
        <v>34</v>
      </c>
      <c r="H89" s="2" t="str" cm="1">
        <f t="array" ref="H89">_xlfn.IFS(G89&lt;30,"&lt;30",LoanData!G89&lt;40,"30-40",LoanData!G89&lt;50,"40-50",LoanData!G89&gt;=50,"50+")</f>
        <v>30-40</v>
      </c>
      <c r="I89" s="7">
        <v>45335</v>
      </c>
      <c r="J89" s="8">
        <v>432000</v>
      </c>
      <c r="K89" s="6">
        <v>36</v>
      </c>
      <c r="L89" s="9">
        <v>15.9</v>
      </c>
      <c r="M89" s="8">
        <v>15167</v>
      </c>
      <c r="N89" s="6">
        <v>5</v>
      </c>
      <c r="O89" s="6">
        <v>5</v>
      </c>
      <c r="P89" s="8">
        <v>75835</v>
      </c>
      <c r="Q89" s="8">
        <v>383520</v>
      </c>
      <c r="R89" s="6">
        <v>0</v>
      </c>
      <c r="S89" s="6" t="s">
        <v>25</v>
      </c>
      <c r="T89" s="8">
        <v>27355</v>
      </c>
    </row>
    <row r="90" spans="1:20" x14ac:dyDescent="0.3">
      <c r="A90" s="2" t="s">
        <v>218</v>
      </c>
      <c r="B90" s="2" t="s">
        <v>80</v>
      </c>
      <c r="C90" s="2" t="s">
        <v>53</v>
      </c>
      <c r="D90" s="2" t="s">
        <v>35</v>
      </c>
      <c r="E90" s="2" t="s">
        <v>219</v>
      </c>
      <c r="F90" s="2" t="s">
        <v>24</v>
      </c>
      <c r="G90" s="2">
        <v>51</v>
      </c>
      <c r="H90" s="2" t="str" cm="1">
        <f t="array" ref="H90">_xlfn.IFS(G90&lt;30,"&lt;30",LoanData!G90&lt;40,"30-40",LoanData!G90&lt;50,"40-50",LoanData!G90&gt;=50,"50+")</f>
        <v>50+</v>
      </c>
      <c r="I90" s="3">
        <v>45335</v>
      </c>
      <c r="J90" s="4">
        <v>492000</v>
      </c>
      <c r="K90" s="2">
        <v>36</v>
      </c>
      <c r="L90" s="5">
        <v>14.6</v>
      </c>
      <c r="M90" s="4">
        <v>16959</v>
      </c>
      <c r="N90" s="2">
        <v>5</v>
      </c>
      <c r="O90" s="2">
        <v>5</v>
      </c>
      <c r="P90" s="4">
        <v>84795</v>
      </c>
      <c r="Q90" s="4">
        <v>435783</v>
      </c>
      <c r="R90" s="2">
        <v>0</v>
      </c>
      <c r="S90" s="2" t="s">
        <v>25</v>
      </c>
      <c r="T90" s="4">
        <v>28578</v>
      </c>
    </row>
    <row r="91" spans="1:20" x14ac:dyDescent="0.3">
      <c r="A91" s="6" t="s">
        <v>220</v>
      </c>
      <c r="B91" s="6" t="s">
        <v>33</v>
      </c>
      <c r="C91" s="6" t="s">
        <v>34</v>
      </c>
      <c r="D91" s="6" t="s">
        <v>35</v>
      </c>
      <c r="E91" s="6" t="s">
        <v>221</v>
      </c>
      <c r="F91" s="6" t="s">
        <v>31</v>
      </c>
      <c r="G91" s="6">
        <v>29</v>
      </c>
      <c r="H91" s="2" t="str" cm="1">
        <f t="array" ref="H91">_xlfn.IFS(G91&lt;30,"&lt;30",LoanData!G91&lt;40,"30-40",LoanData!G91&lt;50,"40-50",LoanData!G91&gt;=50,"50+")</f>
        <v>&lt;30</v>
      </c>
      <c r="I91" s="7">
        <v>45302</v>
      </c>
      <c r="J91" s="8">
        <v>352000</v>
      </c>
      <c r="K91" s="6">
        <v>36</v>
      </c>
      <c r="L91" s="9">
        <v>14.8</v>
      </c>
      <c r="M91" s="8">
        <v>12168</v>
      </c>
      <c r="N91" s="6">
        <v>6</v>
      </c>
      <c r="O91" s="6">
        <v>0</v>
      </c>
      <c r="P91" s="8">
        <v>0</v>
      </c>
      <c r="Q91" s="8">
        <v>352000</v>
      </c>
      <c r="R91" s="6">
        <v>188</v>
      </c>
      <c r="S91" s="6" t="s">
        <v>55</v>
      </c>
      <c r="T91" s="8">
        <v>0</v>
      </c>
    </row>
    <row r="92" spans="1:20" x14ac:dyDescent="0.3">
      <c r="A92" s="2" t="s">
        <v>222</v>
      </c>
      <c r="B92" s="2" t="s">
        <v>80</v>
      </c>
      <c r="C92" s="2" t="s">
        <v>53</v>
      </c>
      <c r="D92" s="2" t="s">
        <v>22</v>
      </c>
      <c r="E92" s="2" t="s">
        <v>223</v>
      </c>
      <c r="F92" s="2" t="s">
        <v>31</v>
      </c>
      <c r="G92" s="2">
        <v>56</v>
      </c>
      <c r="H92" s="2" t="str" cm="1">
        <f t="array" ref="H92">_xlfn.IFS(G92&lt;30,"&lt;30",LoanData!G92&lt;40,"30-40",LoanData!G92&lt;50,"40-50",LoanData!G92&gt;=50,"50+")</f>
        <v>50+</v>
      </c>
      <c r="I92" s="3">
        <v>45421</v>
      </c>
      <c r="J92" s="4">
        <v>482000</v>
      </c>
      <c r="K92" s="2">
        <v>36</v>
      </c>
      <c r="L92" s="5">
        <v>13.2</v>
      </c>
      <c r="M92" s="4">
        <v>16287</v>
      </c>
      <c r="N92" s="2">
        <v>2</v>
      </c>
      <c r="O92" s="2">
        <v>0</v>
      </c>
      <c r="P92" s="4">
        <v>0</v>
      </c>
      <c r="Q92" s="4">
        <v>482000</v>
      </c>
      <c r="R92" s="2">
        <v>67</v>
      </c>
      <c r="S92" s="2" t="s">
        <v>47</v>
      </c>
      <c r="T92" s="4">
        <v>0</v>
      </c>
    </row>
    <row r="93" spans="1:20" x14ac:dyDescent="0.3">
      <c r="A93" s="6" t="s">
        <v>224</v>
      </c>
      <c r="B93" s="6" t="s">
        <v>40</v>
      </c>
      <c r="C93" s="6" t="s">
        <v>34</v>
      </c>
      <c r="D93" s="6" t="s">
        <v>29</v>
      </c>
      <c r="E93" s="6" t="s">
        <v>225</v>
      </c>
      <c r="F93" s="6" t="s">
        <v>42</v>
      </c>
      <c r="G93" s="6">
        <v>51</v>
      </c>
      <c r="H93" s="2" t="str" cm="1">
        <f t="array" ref="H93">_xlfn.IFS(G93&lt;30,"&lt;30",LoanData!G93&lt;40,"30-40",LoanData!G93&lt;50,"40-50",LoanData!G93&gt;=50,"50+")</f>
        <v>50+</v>
      </c>
      <c r="I93" s="7">
        <v>45407</v>
      </c>
      <c r="J93" s="8">
        <v>256000</v>
      </c>
      <c r="K93" s="6">
        <v>12</v>
      </c>
      <c r="L93" s="9">
        <v>10.4</v>
      </c>
      <c r="M93" s="8">
        <v>22554</v>
      </c>
      <c r="N93" s="6">
        <v>3</v>
      </c>
      <c r="O93" s="6">
        <v>3</v>
      </c>
      <c r="P93" s="8">
        <v>67662</v>
      </c>
      <c r="Q93" s="8">
        <v>194463</v>
      </c>
      <c r="R93" s="6">
        <v>0</v>
      </c>
      <c r="S93" s="6" t="s">
        <v>25</v>
      </c>
      <c r="T93" s="8">
        <v>6125</v>
      </c>
    </row>
    <row r="94" spans="1:20" x14ac:dyDescent="0.3">
      <c r="A94" s="2" t="s">
        <v>226</v>
      </c>
      <c r="B94" s="2" t="s">
        <v>65</v>
      </c>
      <c r="C94" s="2" t="s">
        <v>28</v>
      </c>
      <c r="D94" s="2" t="s">
        <v>57</v>
      </c>
      <c r="E94" s="2" t="s">
        <v>227</v>
      </c>
      <c r="F94" s="2" t="s">
        <v>31</v>
      </c>
      <c r="G94" s="2">
        <v>53</v>
      </c>
      <c r="H94" s="2" t="str" cm="1">
        <f t="array" ref="H94">_xlfn.IFS(G94&lt;30,"&lt;30",LoanData!G94&lt;40,"30-40",LoanData!G94&lt;50,"40-50",LoanData!G94&gt;=50,"50+")</f>
        <v>50+</v>
      </c>
      <c r="I94" s="3">
        <v>45360</v>
      </c>
      <c r="J94" s="4">
        <v>1360000</v>
      </c>
      <c r="K94" s="2">
        <v>48</v>
      </c>
      <c r="L94" s="5">
        <v>12.2</v>
      </c>
      <c r="M94" s="4">
        <v>35948</v>
      </c>
      <c r="N94" s="2">
        <v>4</v>
      </c>
      <c r="O94" s="2">
        <v>4</v>
      </c>
      <c r="P94" s="4">
        <v>143792</v>
      </c>
      <c r="Q94" s="4">
        <v>1270157</v>
      </c>
      <c r="R94" s="2">
        <v>0</v>
      </c>
      <c r="S94" s="2" t="s">
        <v>25</v>
      </c>
      <c r="T94" s="4">
        <v>53949</v>
      </c>
    </row>
    <row r="95" spans="1:20" x14ac:dyDescent="0.3">
      <c r="A95" s="6" t="s">
        <v>228</v>
      </c>
      <c r="B95" s="6" t="s">
        <v>40</v>
      </c>
      <c r="C95" s="6" t="s">
        <v>34</v>
      </c>
      <c r="D95" s="6" t="s">
        <v>22</v>
      </c>
      <c r="E95" s="6" t="s">
        <v>229</v>
      </c>
      <c r="F95" s="6" t="s">
        <v>24</v>
      </c>
      <c r="G95" s="6">
        <v>46</v>
      </c>
      <c r="H95" s="2" t="str" cm="1">
        <f t="array" ref="H95">_xlfn.IFS(G95&lt;30,"&lt;30",LoanData!G95&lt;40,"30-40",LoanData!G95&lt;50,"40-50",LoanData!G95&gt;=50,"50+")</f>
        <v>40-50</v>
      </c>
      <c r="I95" s="7">
        <v>45376</v>
      </c>
      <c r="J95" s="8">
        <v>632000</v>
      </c>
      <c r="K95" s="6">
        <v>24</v>
      </c>
      <c r="L95" s="9">
        <v>11.4</v>
      </c>
      <c r="M95" s="8">
        <v>29574</v>
      </c>
      <c r="N95" s="6">
        <v>4</v>
      </c>
      <c r="O95" s="6">
        <v>4</v>
      </c>
      <c r="P95" s="8">
        <v>118296</v>
      </c>
      <c r="Q95" s="8">
        <v>536369</v>
      </c>
      <c r="R95" s="6">
        <v>0</v>
      </c>
      <c r="S95" s="6" t="s">
        <v>25</v>
      </c>
      <c r="T95" s="8">
        <v>22665</v>
      </c>
    </row>
    <row r="96" spans="1:20" x14ac:dyDescent="0.3">
      <c r="A96" s="2" t="s">
        <v>230</v>
      </c>
      <c r="B96" s="2" t="s">
        <v>40</v>
      </c>
      <c r="C96" s="2" t="s">
        <v>34</v>
      </c>
      <c r="D96" s="2" t="s">
        <v>35</v>
      </c>
      <c r="E96" s="2" t="s">
        <v>231</v>
      </c>
      <c r="F96" s="2" t="s">
        <v>24</v>
      </c>
      <c r="G96" s="2">
        <v>53</v>
      </c>
      <c r="H96" s="2" t="str" cm="1">
        <f t="array" ref="H96">_xlfn.IFS(G96&lt;30,"&lt;30",LoanData!G96&lt;40,"30-40",LoanData!G96&lt;50,"40-50",LoanData!G96&gt;=50,"50+")</f>
        <v>50+</v>
      </c>
      <c r="I96" s="3">
        <v>45377</v>
      </c>
      <c r="J96" s="4">
        <v>492000</v>
      </c>
      <c r="K96" s="2">
        <v>12</v>
      </c>
      <c r="L96" s="5">
        <v>14.3</v>
      </c>
      <c r="M96" s="4">
        <v>44245</v>
      </c>
      <c r="N96" s="2">
        <v>4</v>
      </c>
      <c r="O96" s="2">
        <v>4</v>
      </c>
      <c r="P96" s="4">
        <v>176980</v>
      </c>
      <c r="Q96" s="4">
        <v>335707</v>
      </c>
      <c r="R96" s="2">
        <v>0</v>
      </c>
      <c r="S96" s="2" t="s">
        <v>25</v>
      </c>
      <c r="T96" s="4">
        <v>20687</v>
      </c>
    </row>
    <row r="97" spans="1:20" x14ac:dyDescent="0.3">
      <c r="A97" s="6" t="s">
        <v>232</v>
      </c>
      <c r="B97" s="6" t="s">
        <v>33</v>
      </c>
      <c r="C97" s="6" t="s">
        <v>34</v>
      </c>
      <c r="D97" s="6" t="s">
        <v>22</v>
      </c>
      <c r="E97" s="6" t="s">
        <v>233</v>
      </c>
      <c r="F97" s="6" t="s">
        <v>31</v>
      </c>
      <c r="G97" s="6">
        <v>57</v>
      </c>
      <c r="H97" s="2" t="str" cm="1">
        <f t="array" ref="H97">_xlfn.IFS(G97&lt;30,"&lt;30",LoanData!G97&lt;40,"30-40",LoanData!G97&lt;50,"40-50",LoanData!G97&gt;=50,"50+")</f>
        <v>50+</v>
      </c>
      <c r="I97" s="7">
        <v>45446</v>
      </c>
      <c r="J97" s="8">
        <v>418000</v>
      </c>
      <c r="K97" s="6">
        <v>24</v>
      </c>
      <c r="L97" s="9">
        <v>11</v>
      </c>
      <c r="M97" s="8">
        <v>19482</v>
      </c>
      <c r="N97" s="6">
        <v>1</v>
      </c>
      <c r="O97" s="6">
        <v>1</v>
      </c>
      <c r="P97" s="8">
        <v>19482</v>
      </c>
      <c r="Q97" s="8">
        <v>402350</v>
      </c>
      <c r="R97" s="6">
        <v>0</v>
      </c>
      <c r="S97" s="6" t="s">
        <v>25</v>
      </c>
      <c r="T97" s="8">
        <v>3832</v>
      </c>
    </row>
    <row r="98" spans="1:20" x14ac:dyDescent="0.3">
      <c r="A98" s="2" t="s">
        <v>234</v>
      </c>
      <c r="B98" s="2" t="s">
        <v>33</v>
      </c>
      <c r="C98" s="2" t="s">
        <v>34</v>
      </c>
      <c r="D98" s="2" t="s">
        <v>22</v>
      </c>
      <c r="E98" s="2" t="s">
        <v>235</v>
      </c>
      <c r="F98" s="2" t="s">
        <v>31</v>
      </c>
      <c r="G98" s="2">
        <v>48</v>
      </c>
      <c r="H98" s="2" t="str" cm="1">
        <f t="array" ref="H98">_xlfn.IFS(G98&lt;30,"&lt;30",LoanData!G98&lt;40,"30-40",LoanData!G98&lt;50,"40-50",LoanData!G98&gt;=50,"50+")</f>
        <v>40-50</v>
      </c>
      <c r="I98" s="3">
        <v>45459</v>
      </c>
      <c r="J98" s="4">
        <v>249000</v>
      </c>
      <c r="K98" s="2">
        <v>24</v>
      </c>
      <c r="L98" s="5">
        <v>12.1</v>
      </c>
      <c r="M98" s="4">
        <v>11733</v>
      </c>
      <c r="N98" s="2">
        <v>1</v>
      </c>
      <c r="O98" s="2">
        <v>1</v>
      </c>
      <c r="P98" s="4">
        <v>11733</v>
      </c>
      <c r="Q98" s="4">
        <v>239778</v>
      </c>
      <c r="R98" s="2">
        <v>0</v>
      </c>
      <c r="S98" s="2" t="s">
        <v>25</v>
      </c>
      <c r="T98" s="4">
        <v>2511</v>
      </c>
    </row>
    <row r="99" spans="1:20" x14ac:dyDescent="0.3">
      <c r="A99" s="6" t="s">
        <v>236</v>
      </c>
      <c r="B99" s="6" t="s">
        <v>60</v>
      </c>
      <c r="C99" s="6" t="s">
        <v>21</v>
      </c>
      <c r="D99" s="6" t="s">
        <v>29</v>
      </c>
      <c r="E99" s="6" t="s">
        <v>237</v>
      </c>
      <c r="F99" s="6" t="s">
        <v>42</v>
      </c>
      <c r="G99" s="6">
        <v>35</v>
      </c>
      <c r="H99" s="2" t="str" cm="1">
        <f t="array" ref="H99">_xlfn.IFS(G99&lt;30,"&lt;30",LoanData!G99&lt;40,"30-40",LoanData!G99&lt;50,"40-50",LoanData!G99&gt;=50,"50+")</f>
        <v>30-40</v>
      </c>
      <c r="I99" s="7">
        <v>45302</v>
      </c>
      <c r="J99" s="8">
        <v>249000</v>
      </c>
      <c r="K99" s="6">
        <v>24</v>
      </c>
      <c r="L99" s="9">
        <v>9.1</v>
      </c>
      <c r="M99" s="8">
        <v>11387</v>
      </c>
      <c r="N99" s="6">
        <v>6</v>
      </c>
      <c r="O99" s="6">
        <v>6</v>
      </c>
      <c r="P99" s="8">
        <v>68322</v>
      </c>
      <c r="Q99" s="8">
        <v>190916</v>
      </c>
      <c r="R99" s="6">
        <v>0</v>
      </c>
      <c r="S99" s="6" t="s">
        <v>25</v>
      </c>
      <c r="T99" s="8">
        <v>10238</v>
      </c>
    </row>
    <row r="100" spans="1:20" x14ac:dyDescent="0.3">
      <c r="A100" s="2" t="s">
        <v>238</v>
      </c>
      <c r="B100" s="2" t="s">
        <v>60</v>
      </c>
      <c r="C100" s="2" t="s">
        <v>21</v>
      </c>
      <c r="D100" s="2" t="s">
        <v>22</v>
      </c>
      <c r="E100" s="2" t="s">
        <v>239</v>
      </c>
      <c r="F100" s="2" t="s">
        <v>24</v>
      </c>
      <c r="G100" s="2">
        <v>25</v>
      </c>
      <c r="H100" s="2" t="str" cm="1">
        <f t="array" ref="H100">_xlfn.IFS(G100&lt;30,"&lt;30",LoanData!G100&lt;40,"30-40",LoanData!G100&lt;50,"40-50",LoanData!G100&gt;=50,"50+")</f>
        <v>&lt;30</v>
      </c>
      <c r="I100" s="3">
        <v>45468</v>
      </c>
      <c r="J100" s="4">
        <v>494000</v>
      </c>
      <c r="K100" s="2">
        <v>48</v>
      </c>
      <c r="L100" s="5">
        <v>10.4</v>
      </c>
      <c r="M100" s="4">
        <v>12624</v>
      </c>
      <c r="N100" s="2">
        <v>1</v>
      </c>
      <c r="O100" s="2">
        <v>1</v>
      </c>
      <c r="P100" s="4">
        <v>12624</v>
      </c>
      <c r="Q100" s="4">
        <v>485657</v>
      </c>
      <c r="R100" s="2">
        <v>0</v>
      </c>
      <c r="S100" s="2" t="s">
        <v>25</v>
      </c>
      <c r="T100" s="4">
        <v>4281</v>
      </c>
    </row>
    <row r="101" spans="1:20" x14ac:dyDescent="0.3">
      <c r="A101" s="6" t="s">
        <v>240</v>
      </c>
      <c r="B101" s="6" t="s">
        <v>20</v>
      </c>
      <c r="C101" s="6" t="s">
        <v>21</v>
      </c>
      <c r="D101" s="6" t="s">
        <v>22</v>
      </c>
      <c r="E101" s="6" t="s">
        <v>241</v>
      </c>
      <c r="F101" s="6" t="s">
        <v>42</v>
      </c>
      <c r="G101" s="6">
        <v>40</v>
      </c>
      <c r="H101" s="2" t="str" cm="1">
        <f t="array" ref="H101">_xlfn.IFS(G101&lt;30,"&lt;30",LoanData!G101&lt;40,"30-40",LoanData!G101&lt;50,"40-50",LoanData!G101&gt;=50,"50+")</f>
        <v>40-50</v>
      </c>
      <c r="I101" s="7">
        <v>45292</v>
      </c>
      <c r="J101" s="8">
        <v>692000</v>
      </c>
      <c r="K101" s="6">
        <v>36</v>
      </c>
      <c r="L101" s="9">
        <v>10.199999999999999</v>
      </c>
      <c r="M101" s="8">
        <v>22394</v>
      </c>
      <c r="N101" s="6">
        <v>6</v>
      </c>
      <c r="O101" s="6">
        <v>6</v>
      </c>
      <c r="P101" s="8">
        <v>134364</v>
      </c>
      <c r="Q101" s="8">
        <v>590799</v>
      </c>
      <c r="R101" s="6">
        <v>0</v>
      </c>
      <c r="S101" s="6" t="s">
        <v>25</v>
      </c>
      <c r="T101" s="8">
        <v>33163</v>
      </c>
    </row>
    <row r="102" spans="1:20" x14ac:dyDescent="0.3">
      <c r="A102" s="2" t="s">
        <v>242</v>
      </c>
      <c r="B102" s="2" t="s">
        <v>60</v>
      </c>
      <c r="C102" s="2" t="s">
        <v>21</v>
      </c>
      <c r="D102" s="2" t="s">
        <v>22</v>
      </c>
      <c r="E102" s="2" t="s">
        <v>243</v>
      </c>
      <c r="F102" s="2" t="s">
        <v>42</v>
      </c>
      <c r="G102" s="2">
        <v>52</v>
      </c>
      <c r="H102" s="2" t="str" cm="1">
        <f t="array" ref="H102">_xlfn.IFS(G102&lt;30,"&lt;30",LoanData!G102&lt;40,"30-40",LoanData!G102&lt;50,"40-50",LoanData!G102&gt;=50,"50+")</f>
        <v>50+</v>
      </c>
      <c r="I102" s="3">
        <v>45468</v>
      </c>
      <c r="J102" s="4">
        <v>872000</v>
      </c>
      <c r="K102" s="2">
        <v>36</v>
      </c>
      <c r="L102" s="5">
        <v>12.4</v>
      </c>
      <c r="M102" s="4">
        <v>29130</v>
      </c>
      <c r="N102" s="2">
        <v>1</v>
      </c>
      <c r="O102" s="2">
        <v>1</v>
      </c>
      <c r="P102" s="4">
        <v>29130</v>
      </c>
      <c r="Q102" s="4">
        <v>851881</v>
      </c>
      <c r="R102" s="2">
        <v>0</v>
      </c>
      <c r="S102" s="2" t="s">
        <v>25</v>
      </c>
      <c r="T102" s="4">
        <v>9011</v>
      </c>
    </row>
    <row r="103" spans="1:20" x14ac:dyDescent="0.3">
      <c r="A103" s="6" t="s">
        <v>244</v>
      </c>
      <c r="B103" s="6" t="s">
        <v>52</v>
      </c>
      <c r="C103" s="6" t="s">
        <v>53</v>
      </c>
      <c r="D103" s="6" t="s">
        <v>29</v>
      </c>
      <c r="E103" s="6" t="s">
        <v>245</v>
      </c>
      <c r="F103" s="6" t="s">
        <v>31</v>
      </c>
      <c r="G103" s="6">
        <v>31</v>
      </c>
      <c r="H103" s="2" t="str" cm="1">
        <f t="array" ref="H103">_xlfn.IFS(G103&lt;30,"&lt;30",LoanData!G103&lt;40,"30-40",LoanData!G103&lt;50,"40-50",LoanData!G103&gt;=50,"50+")</f>
        <v>30-40</v>
      </c>
      <c r="I103" s="7">
        <v>45418</v>
      </c>
      <c r="J103" s="8">
        <v>228000</v>
      </c>
      <c r="K103" s="6">
        <v>24</v>
      </c>
      <c r="L103" s="9">
        <v>9.9</v>
      </c>
      <c r="M103" s="8">
        <v>10511</v>
      </c>
      <c r="N103" s="6">
        <v>2</v>
      </c>
      <c r="O103" s="6">
        <v>2</v>
      </c>
      <c r="P103" s="8">
        <v>21022</v>
      </c>
      <c r="Q103" s="8">
        <v>210670</v>
      </c>
      <c r="R103" s="6">
        <v>0</v>
      </c>
      <c r="S103" s="6" t="s">
        <v>25</v>
      </c>
      <c r="T103" s="8">
        <v>3692</v>
      </c>
    </row>
    <row r="104" spans="1:20" x14ac:dyDescent="0.3">
      <c r="A104" s="2" t="s">
        <v>246</v>
      </c>
      <c r="B104" s="2" t="s">
        <v>52</v>
      </c>
      <c r="C104" s="2" t="s">
        <v>53</v>
      </c>
      <c r="D104" s="2" t="s">
        <v>22</v>
      </c>
      <c r="E104" s="2" t="s">
        <v>247</v>
      </c>
      <c r="F104" s="2" t="s">
        <v>31</v>
      </c>
      <c r="G104" s="2">
        <v>39</v>
      </c>
      <c r="H104" s="2" t="str" cm="1">
        <f t="array" ref="H104">_xlfn.IFS(G104&lt;30,"&lt;30",LoanData!G104&lt;40,"30-40",LoanData!G104&lt;50,"40-50",LoanData!G104&gt;=50,"50+")</f>
        <v>30-40</v>
      </c>
      <c r="I104" s="3">
        <v>45405</v>
      </c>
      <c r="J104" s="4">
        <v>963000</v>
      </c>
      <c r="K104" s="2">
        <v>24</v>
      </c>
      <c r="L104" s="5">
        <v>10.9</v>
      </c>
      <c r="M104" s="4">
        <v>44839</v>
      </c>
      <c r="N104" s="2">
        <v>3</v>
      </c>
      <c r="O104" s="2">
        <v>3</v>
      </c>
      <c r="P104" s="4">
        <v>134517</v>
      </c>
      <c r="Q104" s="4">
        <v>853739</v>
      </c>
      <c r="R104" s="2">
        <v>0</v>
      </c>
      <c r="S104" s="2" t="s">
        <v>25</v>
      </c>
      <c r="T104" s="4">
        <v>25256</v>
      </c>
    </row>
    <row r="105" spans="1:20" x14ac:dyDescent="0.3">
      <c r="A105" s="6" t="s">
        <v>248</v>
      </c>
      <c r="B105" s="6" t="s">
        <v>65</v>
      </c>
      <c r="C105" s="6" t="s">
        <v>28</v>
      </c>
      <c r="D105" s="6" t="s">
        <v>22</v>
      </c>
      <c r="E105" s="6" t="s">
        <v>249</v>
      </c>
      <c r="F105" s="6" t="s">
        <v>31</v>
      </c>
      <c r="G105" s="6">
        <v>54</v>
      </c>
      <c r="H105" s="2" t="str" cm="1">
        <f t="array" ref="H105">_xlfn.IFS(G105&lt;30,"&lt;30",LoanData!G105&lt;40,"30-40",LoanData!G105&lt;50,"40-50",LoanData!G105&gt;=50,"50+")</f>
        <v>50+</v>
      </c>
      <c r="I105" s="7">
        <v>45467</v>
      </c>
      <c r="J105" s="8">
        <v>764000</v>
      </c>
      <c r="K105" s="6">
        <v>36</v>
      </c>
      <c r="L105" s="9">
        <v>13.1</v>
      </c>
      <c r="M105" s="8">
        <v>25779</v>
      </c>
      <c r="N105" s="6">
        <v>1</v>
      </c>
      <c r="O105" s="6">
        <v>1</v>
      </c>
      <c r="P105" s="8">
        <v>25779</v>
      </c>
      <c r="Q105" s="8">
        <v>746561</v>
      </c>
      <c r="R105" s="6">
        <v>0</v>
      </c>
      <c r="S105" s="6" t="s">
        <v>25</v>
      </c>
      <c r="T105" s="8">
        <v>8340</v>
      </c>
    </row>
    <row r="106" spans="1:20" x14ac:dyDescent="0.3">
      <c r="A106" s="2" t="s">
        <v>250</v>
      </c>
      <c r="B106" s="2" t="s">
        <v>20</v>
      </c>
      <c r="C106" s="2" t="s">
        <v>21</v>
      </c>
      <c r="D106" s="2" t="s">
        <v>57</v>
      </c>
      <c r="E106" s="2" t="s">
        <v>251</v>
      </c>
      <c r="F106" s="2" t="s">
        <v>42</v>
      </c>
      <c r="G106" s="2">
        <v>33</v>
      </c>
      <c r="H106" s="2" t="str" cm="1">
        <f t="array" ref="H106">_xlfn.IFS(G106&lt;30,"&lt;30",LoanData!G106&lt;40,"30-40",LoanData!G106&lt;50,"40-50",LoanData!G106&gt;=50,"50+")</f>
        <v>30-40</v>
      </c>
      <c r="I106" s="3">
        <v>45308</v>
      </c>
      <c r="J106" s="4">
        <v>201000</v>
      </c>
      <c r="K106" s="2">
        <v>60</v>
      </c>
      <c r="L106" s="5">
        <v>15.2</v>
      </c>
      <c r="M106" s="4">
        <v>4803</v>
      </c>
      <c r="N106" s="2">
        <v>6</v>
      </c>
      <c r="O106" s="2">
        <v>1</v>
      </c>
      <c r="P106" s="4">
        <v>4803</v>
      </c>
      <c r="Q106" s="4">
        <v>198743</v>
      </c>
      <c r="R106" s="2">
        <v>157</v>
      </c>
      <c r="S106" s="2" t="s">
        <v>55</v>
      </c>
      <c r="T106" s="4">
        <v>2546</v>
      </c>
    </row>
    <row r="107" spans="1:20" x14ac:dyDescent="0.3">
      <c r="A107" s="6" t="s">
        <v>252</v>
      </c>
      <c r="B107" s="6" t="s">
        <v>27</v>
      </c>
      <c r="C107" s="6" t="s">
        <v>28</v>
      </c>
      <c r="D107" s="6" t="s">
        <v>57</v>
      </c>
      <c r="E107" s="6" t="s">
        <v>253</v>
      </c>
      <c r="F107" s="6" t="s">
        <v>24</v>
      </c>
      <c r="G107" s="6">
        <v>35</v>
      </c>
      <c r="H107" s="2" t="str" cm="1">
        <f t="array" ref="H107">_xlfn.IFS(G107&lt;30,"&lt;30",LoanData!G107&lt;40,"30-40",LoanData!G107&lt;50,"40-50",LoanData!G107&gt;=50,"50+")</f>
        <v>30-40</v>
      </c>
      <c r="I107" s="7">
        <v>45334</v>
      </c>
      <c r="J107" s="8">
        <v>669000</v>
      </c>
      <c r="K107" s="6">
        <v>36</v>
      </c>
      <c r="L107" s="9">
        <v>12.2</v>
      </c>
      <c r="M107" s="8">
        <v>22284</v>
      </c>
      <c r="N107" s="6">
        <v>5</v>
      </c>
      <c r="O107" s="6">
        <v>5</v>
      </c>
      <c r="P107" s="8">
        <v>111420</v>
      </c>
      <c r="Q107" s="8">
        <v>589996</v>
      </c>
      <c r="R107" s="6">
        <v>0</v>
      </c>
      <c r="S107" s="6" t="s">
        <v>25</v>
      </c>
      <c r="T107" s="8">
        <v>32416</v>
      </c>
    </row>
    <row r="108" spans="1:20" x14ac:dyDescent="0.3">
      <c r="A108" s="2" t="s">
        <v>254</v>
      </c>
      <c r="B108" s="2" t="s">
        <v>52</v>
      </c>
      <c r="C108" s="2" t="s">
        <v>53</v>
      </c>
      <c r="D108" s="2" t="s">
        <v>57</v>
      </c>
      <c r="E108" s="2" t="s">
        <v>255</v>
      </c>
      <c r="F108" s="2" t="s">
        <v>42</v>
      </c>
      <c r="G108" s="2">
        <v>40</v>
      </c>
      <c r="H108" s="2" t="str" cm="1">
        <f t="array" ref="H108">_xlfn.IFS(G108&lt;30,"&lt;30",LoanData!G108&lt;40,"30-40",LoanData!G108&lt;50,"40-50",LoanData!G108&gt;=50,"50+")</f>
        <v>40-50</v>
      </c>
      <c r="I108" s="3">
        <v>45363</v>
      </c>
      <c r="J108" s="4">
        <v>435000</v>
      </c>
      <c r="K108" s="2">
        <v>60</v>
      </c>
      <c r="L108" s="5">
        <v>13.4</v>
      </c>
      <c r="M108" s="4">
        <v>9987</v>
      </c>
      <c r="N108" s="2">
        <v>4</v>
      </c>
      <c r="O108" s="2">
        <v>3</v>
      </c>
      <c r="P108" s="4">
        <v>29961</v>
      </c>
      <c r="Q108" s="4">
        <v>419439</v>
      </c>
      <c r="R108" s="2">
        <v>27</v>
      </c>
      <c r="S108" s="2" t="s">
        <v>47</v>
      </c>
      <c r="T108" s="4">
        <v>14400</v>
      </c>
    </row>
    <row r="109" spans="1:20" x14ac:dyDescent="0.3">
      <c r="A109" s="6" t="s">
        <v>256</v>
      </c>
      <c r="B109" s="6" t="s">
        <v>20</v>
      </c>
      <c r="C109" s="6" t="s">
        <v>21</v>
      </c>
      <c r="D109" s="6" t="s">
        <v>49</v>
      </c>
      <c r="E109" s="6" t="s">
        <v>257</v>
      </c>
      <c r="F109" s="6" t="s">
        <v>42</v>
      </c>
      <c r="G109" s="6">
        <v>39</v>
      </c>
      <c r="H109" s="2" t="str" cm="1">
        <f t="array" ref="H109">_xlfn.IFS(G109&lt;30,"&lt;30",LoanData!G109&lt;40,"30-40",LoanData!G109&lt;50,"40-50",LoanData!G109&gt;=50,"50+")</f>
        <v>30-40</v>
      </c>
      <c r="I109" s="7">
        <v>45461</v>
      </c>
      <c r="J109" s="8">
        <v>75000</v>
      </c>
      <c r="K109" s="6">
        <v>36</v>
      </c>
      <c r="L109" s="9">
        <v>14.1</v>
      </c>
      <c r="M109" s="8">
        <v>2567</v>
      </c>
      <c r="N109" s="6">
        <v>1</v>
      </c>
      <c r="O109" s="6">
        <v>1</v>
      </c>
      <c r="P109" s="8">
        <v>2567</v>
      </c>
      <c r="Q109" s="8">
        <v>73314</v>
      </c>
      <c r="R109" s="6">
        <v>0</v>
      </c>
      <c r="S109" s="6" t="s">
        <v>25</v>
      </c>
      <c r="T109" s="8">
        <v>881</v>
      </c>
    </row>
    <row r="110" spans="1:20" x14ac:dyDescent="0.3">
      <c r="A110" s="2" t="s">
        <v>258</v>
      </c>
      <c r="B110" s="2" t="s">
        <v>40</v>
      </c>
      <c r="C110" s="2" t="s">
        <v>34</v>
      </c>
      <c r="D110" s="2" t="s">
        <v>49</v>
      </c>
      <c r="E110" s="2" t="s">
        <v>259</v>
      </c>
      <c r="F110" s="2" t="s">
        <v>42</v>
      </c>
      <c r="G110" s="2">
        <v>26</v>
      </c>
      <c r="H110" s="2" t="str" cm="1">
        <f t="array" ref="H110">_xlfn.IFS(G110&lt;30,"&lt;30",LoanData!G110&lt;40,"30-40",LoanData!G110&lt;50,"40-50",LoanData!G110&gt;=50,"50+")</f>
        <v>&lt;30</v>
      </c>
      <c r="I110" s="3">
        <v>45414</v>
      </c>
      <c r="J110" s="4">
        <v>286000</v>
      </c>
      <c r="K110" s="2">
        <v>24</v>
      </c>
      <c r="L110" s="5">
        <v>11.6</v>
      </c>
      <c r="M110" s="4">
        <v>13410</v>
      </c>
      <c r="N110" s="2">
        <v>2</v>
      </c>
      <c r="O110" s="2">
        <v>2</v>
      </c>
      <c r="P110" s="4">
        <v>26820</v>
      </c>
      <c r="Q110" s="4">
        <v>264607</v>
      </c>
      <c r="R110" s="2">
        <v>0</v>
      </c>
      <c r="S110" s="2" t="s">
        <v>25</v>
      </c>
      <c r="T110" s="4">
        <v>5427</v>
      </c>
    </row>
    <row r="111" spans="1:20" x14ac:dyDescent="0.3">
      <c r="A111" s="6" t="s">
        <v>260</v>
      </c>
      <c r="B111" s="6" t="s">
        <v>20</v>
      </c>
      <c r="C111" s="6" t="s">
        <v>21</v>
      </c>
      <c r="D111" s="6" t="s">
        <v>22</v>
      </c>
      <c r="E111" s="6" t="s">
        <v>261</v>
      </c>
      <c r="F111" s="6" t="s">
        <v>24</v>
      </c>
      <c r="G111" s="6">
        <v>50</v>
      </c>
      <c r="H111" s="2" t="str" cm="1">
        <f t="array" ref="H111">_xlfn.IFS(G111&lt;30,"&lt;30",LoanData!G111&lt;40,"30-40",LoanData!G111&lt;50,"40-50",LoanData!G111&gt;=50,"50+")</f>
        <v>50+</v>
      </c>
      <c r="I111" s="7">
        <v>45464</v>
      </c>
      <c r="J111" s="8">
        <v>735000</v>
      </c>
      <c r="K111" s="6">
        <v>48</v>
      </c>
      <c r="L111" s="9">
        <v>12.1</v>
      </c>
      <c r="M111" s="8">
        <v>19391</v>
      </c>
      <c r="N111" s="6">
        <v>1</v>
      </c>
      <c r="O111" s="6">
        <v>0</v>
      </c>
      <c r="P111" s="8">
        <v>0</v>
      </c>
      <c r="Q111" s="8">
        <v>735000</v>
      </c>
      <c r="R111" s="6">
        <v>68</v>
      </c>
      <c r="S111" s="6" t="s">
        <v>47</v>
      </c>
      <c r="T111" s="8">
        <v>0</v>
      </c>
    </row>
    <row r="112" spans="1:20" x14ac:dyDescent="0.3">
      <c r="A112" s="2" t="s">
        <v>262</v>
      </c>
      <c r="B112" s="2" t="s">
        <v>65</v>
      </c>
      <c r="C112" s="2" t="s">
        <v>28</v>
      </c>
      <c r="D112" s="2" t="s">
        <v>22</v>
      </c>
      <c r="E112" s="2" t="s">
        <v>263</v>
      </c>
      <c r="F112" s="2" t="s">
        <v>24</v>
      </c>
      <c r="G112" s="2">
        <v>43</v>
      </c>
      <c r="H112" s="2" t="str" cm="1">
        <f t="array" ref="H112">_xlfn.IFS(G112&lt;30,"&lt;30",LoanData!G112&lt;40,"30-40",LoanData!G112&lt;50,"40-50",LoanData!G112&gt;=50,"50+")</f>
        <v>40-50</v>
      </c>
      <c r="I112" s="3">
        <v>45365</v>
      </c>
      <c r="J112" s="4">
        <v>267000</v>
      </c>
      <c r="K112" s="2">
        <v>48</v>
      </c>
      <c r="L112" s="5">
        <v>12.2</v>
      </c>
      <c r="M112" s="4">
        <v>7057</v>
      </c>
      <c r="N112" s="2">
        <v>4</v>
      </c>
      <c r="O112" s="2">
        <v>4</v>
      </c>
      <c r="P112" s="4">
        <v>28228</v>
      </c>
      <c r="Q112" s="4">
        <v>249362</v>
      </c>
      <c r="R112" s="2">
        <v>0</v>
      </c>
      <c r="S112" s="2" t="s">
        <v>25</v>
      </c>
      <c r="T112" s="4">
        <v>10590</v>
      </c>
    </row>
    <row r="113" spans="1:20" x14ac:dyDescent="0.3">
      <c r="A113" s="6" t="s">
        <v>264</v>
      </c>
      <c r="B113" s="6" t="s">
        <v>52</v>
      </c>
      <c r="C113" s="6" t="s">
        <v>53</v>
      </c>
      <c r="D113" s="6" t="s">
        <v>29</v>
      </c>
      <c r="E113" s="6" t="s">
        <v>265</v>
      </c>
      <c r="F113" s="6" t="s">
        <v>31</v>
      </c>
      <c r="G113" s="6">
        <v>27</v>
      </c>
      <c r="H113" s="2" t="str" cm="1">
        <f t="array" ref="H113">_xlfn.IFS(G113&lt;30,"&lt;30",LoanData!G113&lt;40,"30-40",LoanData!G113&lt;50,"40-50",LoanData!G113&gt;=50,"50+")</f>
        <v>&lt;30</v>
      </c>
      <c r="I113" s="7">
        <v>45362</v>
      </c>
      <c r="J113" s="8">
        <v>89000</v>
      </c>
      <c r="K113" s="6">
        <v>24</v>
      </c>
      <c r="L113" s="9">
        <v>10.4</v>
      </c>
      <c r="M113" s="8">
        <v>4123</v>
      </c>
      <c r="N113" s="6">
        <v>4</v>
      </c>
      <c r="O113" s="6">
        <v>4</v>
      </c>
      <c r="P113" s="8">
        <v>16492</v>
      </c>
      <c r="Q113" s="8">
        <v>75417</v>
      </c>
      <c r="R113" s="6">
        <v>0</v>
      </c>
      <c r="S113" s="6" t="s">
        <v>25</v>
      </c>
      <c r="T113" s="8">
        <v>2909</v>
      </c>
    </row>
    <row r="114" spans="1:20" x14ac:dyDescent="0.3">
      <c r="A114" s="2" t="s">
        <v>266</v>
      </c>
      <c r="B114" s="2" t="s">
        <v>80</v>
      </c>
      <c r="C114" s="2" t="s">
        <v>53</v>
      </c>
      <c r="D114" s="2" t="s">
        <v>57</v>
      </c>
      <c r="E114" s="2" t="s">
        <v>267</v>
      </c>
      <c r="F114" s="2" t="s">
        <v>42</v>
      </c>
      <c r="G114" s="2">
        <v>53</v>
      </c>
      <c r="H114" s="2" t="str" cm="1">
        <f t="array" ref="H114">_xlfn.IFS(G114&lt;30,"&lt;30",LoanData!G114&lt;40,"30-40",LoanData!G114&lt;50,"40-50",LoanData!G114&gt;=50,"50+")</f>
        <v>50+</v>
      </c>
      <c r="I114" s="3">
        <v>45348</v>
      </c>
      <c r="J114" s="4">
        <v>1969000</v>
      </c>
      <c r="K114" s="2">
        <v>48</v>
      </c>
      <c r="L114" s="5">
        <v>15.4</v>
      </c>
      <c r="M114" s="4">
        <v>55199</v>
      </c>
      <c r="N114" s="2">
        <v>5</v>
      </c>
      <c r="O114" s="2">
        <v>5</v>
      </c>
      <c r="P114" s="4">
        <v>275995</v>
      </c>
      <c r="Q114" s="4">
        <v>1815459</v>
      </c>
      <c r="R114" s="2">
        <v>0</v>
      </c>
      <c r="S114" s="2" t="s">
        <v>25</v>
      </c>
      <c r="T114" s="4">
        <v>122454</v>
      </c>
    </row>
    <row r="115" spans="1:20" x14ac:dyDescent="0.3">
      <c r="A115" s="6" t="s">
        <v>268</v>
      </c>
      <c r="B115" s="6" t="s">
        <v>60</v>
      </c>
      <c r="C115" s="6" t="s">
        <v>21</v>
      </c>
      <c r="D115" s="6" t="s">
        <v>49</v>
      </c>
      <c r="E115" s="6" t="s">
        <v>269</v>
      </c>
      <c r="F115" s="6" t="s">
        <v>31</v>
      </c>
      <c r="G115" s="6">
        <v>27</v>
      </c>
      <c r="H115" s="2" t="str" cm="1">
        <f t="array" ref="H115">_xlfn.IFS(G115&lt;30,"&lt;30",LoanData!G115&lt;40,"30-40",LoanData!G115&lt;50,"40-50",LoanData!G115&gt;=50,"50+")</f>
        <v>&lt;30</v>
      </c>
      <c r="I115" s="7">
        <v>45356</v>
      </c>
      <c r="J115" s="8">
        <v>418000</v>
      </c>
      <c r="K115" s="6">
        <v>60</v>
      </c>
      <c r="L115" s="9">
        <v>13.4</v>
      </c>
      <c r="M115" s="8">
        <v>9597</v>
      </c>
      <c r="N115" s="6">
        <v>4</v>
      </c>
      <c r="O115" s="6">
        <v>4</v>
      </c>
      <c r="P115" s="8">
        <v>38388</v>
      </c>
      <c r="Q115" s="8">
        <v>397952</v>
      </c>
      <c r="R115" s="6">
        <v>0</v>
      </c>
      <c r="S115" s="6" t="s">
        <v>25</v>
      </c>
      <c r="T115" s="8">
        <v>18340</v>
      </c>
    </row>
    <row r="116" spans="1:20" x14ac:dyDescent="0.3">
      <c r="A116" s="2" t="s">
        <v>270</v>
      </c>
      <c r="B116" s="2" t="s">
        <v>80</v>
      </c>
      <c r="C116" s="2" t="s">
        <v>53</v>
      </c>
      <c r="D116" s="2" t="s">
        <v>22</v>
      </c>
      <c r="E116" s="2" t="s">
        <v>271</v>
      </c>
      <c r="F116" s="2" t="s">
        <v>24</v>
      </c>
      <c r="G116" s="2">
        <v>37</v>
      </c>
      <c r="H116" s="2" t="str" cm="1">
        <f t="array" ref="H116">_xlfn.IFS(G116&lt;30,"&lt;30",LoanData!G116&lt;40,"30-40",LoanData!G116&lt;50,"40-50",LoanData!G116&gt;=50,"50+")</f>
        <v>30-40</v>
      </c>
      <c r="I116" s="3">
        <v>45414</v>
      </c>
      <c r="J116" s="4">
        <v>1473000</v>
      </c>
      <c r="K116" s="2">
        <v>36</v>
      </c>
      <c r="L116" s="5">
        <v>10.3</v>
      </c>
      <c r="M116" s="4">
        <v>47737</v>
      </c>
      <c r="N116" s="2">
        <v>2</v>
      </c>
      <c r="O116" s="2">
        <v>2</v>
      </c>
      <c r="P116" s="4">
        <v>95474</v>
      </c>
      <c r="Q116" s="4">
        <v>1402511</v>
      </c>
      <c r="R116" s="2">
        <v>0</v>
      </c>
      <c r="S116" s="2" t="s">
        <v>25</v>
      </c>
      <c r="T116" s="4">
        <v>24985</v>
      </c>
    </row>
    <row r="117" spans="1:20" x14ac:dyDescent="0.3">
      <c r="A117" s="6" t="s">
        <v>272</v>
      </c>
      <c r="B117" s="6" t="s">
        <v>80</v>
      </c>
      <c r="C117" s="6" t="s">
        <v>53</v>
      </c>
      <c r="D117" s="6" t="s">
        <v>49</v>
      </c>
      <c r="E117" s="6" t="s">
        <v>273</v>
      </c>
      <c r="F117" s="6" t="s">
        <v>31</v>
      </c>
      <c r="G117" s="6">
        <v>23</v>
      </c>
      <c r="H117" s="2" t="str" cm="1">
        <f t="array" ref="H117">_xlfn.IFS(G117&lt;30,"&lt;30",LoanData!G117&lt;40,"30-40",LoanData!G117&lt;50,"40-50",LoanData!G117&gt;=50,"50+")</f>
        <v>&lt;30</v>
      </c>
      <c r="I117" s="7">
        <v>45392</v>
      </c>
      <c r="J117" s="8">
        <v>647000</v>
      </c>
      <c r="K117" s="6">
        <v>24</v>
      </c>
      <c r="L117" s="9">
        <v>13.4</v>
      </c>
      <c r="M117" s="8">
        <v>30881</v>
      </c>
      <c r="N117" s="6">
        <v>3</v>
      </c>
      <c r="O117" s="6">
        <v>3</v>
      </c>
      <c r="P117" s="8">
        <v>92643</v>
      </c>
      <c r="Q117" s="8">
        <v>575235</v>
      </c>
      <c r="R117" s="6">
        <v>0</v>
      </c>
      <c r="S117" s="6" t="s">
        <v>25</v>
      </c>
      <c r="T117" s="8">
        <v>20878</v>
      </c>
    </row>
    <row r="118" spans="1:20" x14ac:dyDescent="0.3">
      <c r="A118" s="2" t="s">
        <v>274</v>
      </c>
      <c r="B118" s="2" t="s">
        <v>60</v>
      </c>
      <c r="C118" s="2" t="s">
        <v>21</v>
      </c>
      <c r="D118" s="2" t="s">
        <v>35</v>
      </c>
      <c r="E118" s="2" t="s">
        <v>275</v>
      </c>
      <c r="F118" s="2" t="s">
        <v>31</v>
      </c>
      <c r="G118" s="2">
        <v>48</v>
      </c>
      <c r="H118" s="2" t="str" cm="1">
        <f t="array" ref="H118">_xlfn.IFS(G118&lt;30,"&lt;30",LoanData!G118&lt;40,"30-40",LoanData!G118&lt;50,"40-50",LoanData!G118&gt;=50,"50+")</f>
        <v>40-50</v>
      </c>
      <c r="I118" s="3">
        <v>45342</v>
      </c>
      <c r="J118" s="4">
        <v>143000</v>
      </c>
      <c r="K118" s="2">
        <v>24</v>
      </c>
      <c r="L118" s="5">
        <v>16.8</v>
      </c>
      <c r="M118" s="4">
        <v>7057</v>
      </c>
      <c r="N118" s="2">
        <v>5</v>
      </c>
      <c r="O118" s="2">
        <v>3</v>
      </c>
      <c r="P118" s="4">
        <v>21171</v>
      </c>
      <c r="Q118" s="4">
        <v>127623</v>
      </c>
      <c r="R118" s="2">
        <v>57</v>
      </c>
      <c r="S118" s="2" t="s">
        <v>47</v>
      </c>
      <c r="T118" s="4">
        <v>5794</v>
      </c>
    </row>
    <row r="119" spans="1:20" x14ac:dyDescent="0.3">
      <c r="A119" s="6" t="s">
        <v>276</v>
      </c>
      <c r="B119" s="6" t="s">
        <v>27</v>
      </c>
      <c r="C119" s="6" t="s">
        <v>28</v>
      </c>
      <c r="D119" s="6" t="s">
        <v>22</v>
      </c>
      <c r="E119" s="6" t="s">
        <v>277</v>
      </c>
      <c r="F119" s="6" t="s">
        <v>42</v>
      </c>
      <c r="G119" s="6">
        <v>50</v>
      </c>
      <c r="H119" s="2" t="str" cm="1">
        <f t="array" ref="H119">_xlfn.IFS(G119&lt;30,"&lt;30",LoanData!G119&lt;40,"30-40",LoanData!G119&lt;50,"40-50",LoanData!G119&gt;=50,"50+")</f>
        <v>50+</v>
      </c>
      <c r="I119" s="7">
        <v>45419</v>
      </c>
      <c r="J119" s="8">
        <v>669000</v>
      </c>
      <c r="K119" s="6">
        <v>36</v>
      </c>
      <c r="L119" s="9">
        <v>10.1</v>
      </c>
      <c r="M119" s="8">
        <v>21618</v>
      </c>
      <c r="N119" s="6">
        <v>2</v>
      </c>
      <c r="O119" s="6">
        <v>0</v>
      </c>
      <c r="P119" s="8">
        <v>0</v>
      </c>
      <c r="Q119" s="8">
        <v>669000</v>
      </c>
      <c r="R119" s="6">
        <v>84</v>
      </c>
      <c r="S119" s="6" t="s">
        <v>47</v>
      </c>
      <c r="T119" s="8">
        <v>0</v>
      </c>
    </row>
    <row r="120" spans="1:20" x14ac:dyDescent="0.3">
      <c r="A120" s="2" t="s">
        <v>278</v>
      </c>
      <c r="B120" s="2" t="s">
        <v>27</v>
      </c>
      <c r="C120" s="2" t="s">
        <v>28</v>
      </c>
      <c r="D120" s="2" t="s">
        <v>49</v>
      </c>
      <c r="E120" s="2" t="s">
        <v>279</v>
      </c>
      <c r="F120" s="2" t="s">
        <v>31</v>
      </c>
      <c r="G120" s="2">
        <v>42</v>
      </c>
      <c r="H120" s="2" t="str" cm="1">
        <f t="array" ref="H120">_xlfn.IFS(G120&lt;30,"&lt;30",LoanData!G120&lt;40,"30-40",LoanData!G120&lt;50,"40-50",LoanData!G120&gt;=50,"50+")</f>
        <v>40-50</v>
      </c>
      <c r="I120" s="3">
        <v>45433</v>
      </c>
      <c r="J120" s="4">
        <v>601000</v>
      </c>
      <c r="K120" s="2">
        <v>36</v>
      </c>
      <c r="L120" s="5">
        <v>13.9</v>
      </c>
      <c r="M120" s="4">
        <v>20512</v>
      </c>
      <c r="N120" s="2">
        <v>2</v>
      </c>
      <c r="O120" s="2">
        <v>2</v>
      </c>
      <c r="P120" s="4">
        <v>41024</v>
      </c>
      <c r="Q120" s="4">
        <v>573743</v>
      </c>
      <c r="R120" s="2">
        <v>0</v>
      </c>
      <c r="S120" s="2" t="s">
        <v>25</v>
      </c>
      <c r="T120" s="4">
        <v>13767</v>
      </c>
    </row>
    <row r="121" spans="1:20" x14ac:dyDescent="0.3">
      <c r="A121" s="6" t="s">
        <v>280</v>
      </c>
      <c r="B121" s="6" t="s">
        <v>65</v>
      </c>
      <c r="C121" s="6" t="s">
        <v>28</v>
      </c>
      <c r="D121" s="6" t="s">
        <v>57</v>
      </c>
      <c r="E121" s="6" t="s">
        <v>281</v>
      </c>
      <c r="F121" s="6" t="s">
        <v>42</v>
      </c>
      <c r="G121" s="6">
        <v>39</v>
      </c>
      <c r="H121" s="2" t="str" cm="1">
        <f t="array" ref="H121">_xlfn.IFS(G121&lt;30,"&lt;30",LoanData!G121&lt;40,"30-40",LoanData!G121&lt;50,"40-50",LoanData!G121&gt;=50,"50+")</f>
        <v>30-40</v>
      </c>
      <c r="I121" s="7">
        <v>45430</v>
      </c>
      <c r="J121" s="8">
        <v>940000</v>
      </c>
      <c r="K121" s="6">
        <v>24</v>
      </c>
      <c r="L121" s="9">
        <v>14.9</v>
      </c>
      <c r="M121" s="8">
        <v>45533</v>
      </c>
      <c r="N121" s="6">
        <v>2</v>
      </c>
      <c r="O121" s="6">
        <v>2</v>
      </c>
      <c r="P121" s="8">
        <v>91066</v>
      </c>
      <c r="Q121" s="8">
        <v>871857</v>
      </c>
      <c r="R121" s="6">
        <v>0</v>
      </c>
      <c r="S121" s="6" t="s">
        <v>25</v>
      </c>
      <c r="T121" s="8">
        <v>22923</v>
      </c>
    </row>
    <row r="122" spans="1:20" x14ac:dyDescent="0.3">
      <c r="A122" s="2" t="s">
        <v>282</v>
      </c>
      <c r="B122" s="2" t="s">
        <v>52</v>
      </c>
      <c r="C122" s="2" t="s">
        <v>53</v>
      </c>
      <c r="D122" s="2" t="s">
        <v>22</v>
      </c>
      <c r="E122" s="2" t="s">
        <v>283</v>
      </c>
      <c r="F122" s="2" t="s">
        <v>24</v>
      </c>
      <c r="G122" s="2">
        <v>52</v>
      </c>
      <c r="H122" s="2" t="str" cm="1">
        <f t="array" ref="H122">_xlfn.IFS(G122&lt;30,"&lt;30",LoanData!G122&lt;40,"30-40",LoanData!G122&lt;50,"40-50",LoanData!G122&gt;=50,"50+")</f>
        <v>50+</v>
      </c>
      <c r="I122" s="3">
        <v>45301</v>
      </c>
      <c r="J122" s="4">
        <v>411000</v>
      </c>
      <c r="K122" s="2">
        <v>36</v>
      </c>
      <c r="L122" s="5">
        <v>10.199999999999999</v>
      </c>
      <c r="M122" s="4">
        <v>13300</v>
      </c>
      <c r="N122" s="2">
        <v>6</v>
      </c>
      <c r="O122" s="2">
        <v>6</v>
      </c>
      <c r="P122" s="4">
        <v>79800</v>
      </c>
      <c r="Q122" s="4">
        <v>350894</v>
      </c>
      <c r="R122" s="2">
        <v>0</v>
      </c>
      <c r="S122" s="2" t="s">
        <v>25</v>
      </c>
      <c r="T122" s="4">
        <v>19694</v>
      </c>
    </row>
    <row r="123" spans="1:20" x14ac:dyDescent="0.3">
      <c r="A123" s="6" t="s">
        <v>284</v>
      </c>
      <c r="B123" s="6" t="s">
        <v>80</v>
      </c>
      <c r="C123" s="6" t="s">
        <v>53</v>
      </c>
      <c r="D123" s="6" t="s">
        <v>49</v>
      </c>
      <c r="E123" s="6" t="s">
        <v>285</v>
      </c>
      <c r="F123" s="6" t="s">
        <v>24</v>
      </c>
      <c r="G123" s="6">
        <v>37</v>
      </c>
      <c r="H123" s="2" t="str" cm="1">
        <f t="array" ref="H123">_xlfn.IFS(G123&lt;30,"&lt;30",LoanData!G123&lt;40,"30-40",LoanData!G123&lt;50,"40-50",LoanData!G123&gt;=50,"50+")</f>
        <v>30-40</v>
      </c>
      <c r="I123" s="7">
        <v>45391</v>
      </c>
      <c r="J123" s="8">
        <v>732000</v>
      </c>
      <c r="K123" s="6">
        <v>24</v>
      </c>
      <c r="L123" s="9">
        <v>13.4</v>
      </c>
      <c r="M123" s="8">
        <v>34938</v>
      </c>
      <c r="N123" s="6">
        <v>3</v>
      </c>
      <c r="O123" s="6">
        <v>3</v>
      </c>
      <c r="P123" s="8">
        <v>104814</v>
      </c>
      <c r="Q123" s="8">
        <v>650807</v>
      </c>
      <c r="R123" s="6">
        <v>0</v>
      </c>
      <c r="S123" s="6" t="s">
        <v>25</v>
      </c>
      <c r="T123" s="8">
        <v>23621</v>
      </c>
    </row>
    <row r="124" spans="1:20" x14ac:dyDescent="0.3">
      <c r="A124" s="2" t="s">
        <v>286</v>
      </c>
      <c r="B124" s="2" t="s">
        <v>65</v>
      </c>
      <c r="C124" s="2" t="s">
        <v>28</v>
      </c>
      <c r="D124" s="2" t="s">
        <v>35</v>
      </c>
      <c r="E124" s="2" t="s">
        <v>287</v>
      </c>
      <c r="F124" s="2" t="s">
        <v>24</v>
      </c>
      <c r="G124" s="2">
        <v>24</v>
      </c>
      <c r="H124" s="2" t="str" cm="1">
        <f t="array" ref="H124">_xlfn.IFS(G124&lt;30,"&lt;30",LoanData!G124&lt;40,"30-40",LoanData!G124&lt;50,"40-50",LoanData!G124&gt;=50,"50+")</f>
        <v>&lt;30</v>
      </c>
      <c r="I124" s="3">
        <v>45466</v>
      </c>
      <c r="J124" s="4">
        <v>431000</v>
      </c>
      <c r="K124" s="2">
        <v>36</v>
      </c>
      <c r="L124" s="5">
        <v>14.6</v>
      </c>
      <c r="M124" s="4">
        <v>14856</v>
      </c>
      <c r="N124" s="2">
        <v>1</v>
      </c>
      <c r="O124" s="2">
        <v>1</v>
      </c>
      <c r="P124" s="4">
        <v>14856</v>
      </c>
      <c r="Q124" s="4">
        <v>421387</v>
      </c>
      <c r="R124" s="2">
        <v>0</v>
      </c>
      <c r="S124" s="2" t="s">
        <v>25</v>
      </c>
      <c r="T124" s="4">
        <v>5243</v>
      </c>
    </row>
    <row r="125" spans="1:20" x14ac:dyDescent="0.3">
      <c r="A125" s="6" t="s">
        <v>288</v>
      </c>
      <c r="B125" s="6" t="s">
        <v>80</v>
      </c>
      <c r="C125" s="6" t="s">
        <v>53</v>
      </c>
      <c r="D125" s="6" t="s">
        <v>35</v>
      </c>
      <c r="E125" s="6" t="s">
        <v>289</v>
      </c>
      <c r="F125" s="6" t="s">
        <v>31</v>
      </c>
      <c r="G125" s="6">
        <v>35</v>
      </c>
      <c r="H125" s="2" t="str" cm="1">
        <f t="array" ref="H125">_xlfn.IFS(G125&lt;30,"&lt;30",LoanData!G125&lt;40,"30-40",LoanData!G125&lt;50,"40-50",LoanData!G125&gt;=50,"50+")</f>
        <v>30-40</v>
      </c>
      <c r="I125" s="7">
        <v>45346</v>
      </c>
      <c r="J125" s="8">
        <v>250000</v>
      </c>
      <c r="K125" s="6">
        <v>24</v>
      </c>
      <c r="L125" s="9">
        <v>14.4</v>
      </c>
      <c r="M125" s="8">
        <v>12051</v>
      </c>
      <c r="N125" s="6">
        <v>5</v>
      </c>
      <c r="O125" s="6">
        <v>3</v>
      </c>
      <c r="P125" s="8">
        <v>36153</v>
      </c>
      <c r="Q125" s="8">
        <v>222521</v>
      </c>
      <c r="R125" s="6">
        <v>59</v>
      </c>
      <c r="S125" s="6" t="s">
        <v>47</v>
      </c>
      <c r="T125" s="8">
        <v>8674</v>
      </c>
    </row>
    <row r="126" spans="1:20" x14ac:dyDescent="0.3">
      <c r="A126" s="2" t="s">
        <v>290</v>
      </c>
      <c r="B126" s="2" t="s">
        <v>40</v>
      </c>
      <c r="C126" s="2" t="s">
        <v>34</v>
      </c>
      <c r="D126" s="2" t="s">
        <v>29</v>
      </c>
      <c r="E126" s="2" t="s">
        <v>291</v>
      </c>
      <c r="F126" s="2" t="s">
        <v>31</v>
      </c>
      <c r="G126" s="2">
        <v>46</v>
      </c>
      <c r="H126" s="2" t="str" cm="1">
        <f t="array" ref="H126">_xlfn.IFS(G126&lt;30,"&lt;30",LoanData!G126&lt;40,"30-40",LoanData!G126&lt;50,"40-50",LoanData!G126&gt;=50,"50+")</f>
        <v>40-50</v>
      </c>
      <c r="I126" s="3">
        <v>45305</v>
      </c>
      <c r="J126" s="4">
        <v>145000</v>
      </c>
      <c r="K126" s="2">
        <v>6</v>
      </c>
      <c r="L126" s="5">
        <v>10.7</v>
      </c>
      <c r="M126" s="4">
        <v>24926</v>
      </c>
      <c r="N126" s="2">
        <v>6</v>
      </c>
      <c r="O126" s="2">
        <v>6</v>
      </c>
      <c r="P126" s="4">
        <v>149556</v>
      </c>
      <c r="Q126" s="4">
        <v>0</v>
      </c>
      <c r="R126" s="2">
        <v>0</v>
      </c>
      <c r="S126" s="2" t="s">
        <v>25</v>
      </c>
      <c r="T126" s="4">
        <v>4556</v>
      </c>
    </row>
    <row r="127" spans="1:20" x14ac:dyDescent="0.3">
      <c r="A127" s="6" t="s">
        <v>292</v>
      </c>
      <c r="B127" s="6" t="s">
        <v>80</v>
      </c>
      <c r="C127" s="6" t="s">
        <v>53</v>
      </c>
      <c r="D127" s="6" t="s">
        <v>35</v>
      </c>
      <c r="E127" s="6" t="s">
        <v>293</v>
      </c>
      <c r="F127" s="6" t="s">
        <v>24</v>
      </c>
      <c r="G127" s="6">
        <v>43</v>
      </c>
      <c r="H127" s="2" t="str" cm="1">
        <f t="array" ref="H127">_xlfn.IFS(G127&lt;30,"&lt;30",LoanData!G127&lt;40,"30-40",LoanData!G127&lt;50,"40-50",LoanData!G127&gt;=50,"50+")</f>
        <v>40-50</v>
      </c>
      <c r="I127" s="7">
        <v>45338</v>
      </c>
      <c r="J127" s="8">
        <v>147000</v>
      </c>
      <c r="K127" s="6">
        <v>36</v>
      </c>
      <c r="L127" s="9">
        <v>14.9</v>
      </c>
      <c r="M127" s="8">
        <v>5089</v>
      </c>
      <c r="N127" s="6">
        <v>5</v>
      </c>
      <c r="O127" s="6">
        <v>4</v>
      </c>
      <c r="P127" s="8">
        <v>20356</v>
      </c>
      <c r="Q127" s="8">
        <v>133701</v>
      </c>
      <c r="R127" s="6">
        <v>40</v>
      </c>
      <c r="S127" s="6" t="s">
        <v>47</v>
      </c>
      <c r="T127" s="8">
        <v>7057</v>
      </c>
    </row>
    <row r="128" spans="1:20" x14ac:dyDescent="0.3">
      <c r="A128" s="2" t="s">
        <v>294</v>
      </c>
      <c r="B128" s="2" t="s">
        <v>20</v>
      </c>
      <c r="C128" s="2" t="s">
        <v>21</v>
      </c>
      <c r="D128" s="2" t="s">
        <v>57</v>
      </c>
      <c r="E128" s="2" t="s">
        <v>295</v>
      </c>
      <c r="F128" s="2" t="s">
        <v>42</v>
      </c>
      <c r="G128" s="2">
        <v>40</v>
      </c>
      <c r="H128" s="2" t="str" cm="1">
        <f t="array" ref="H128">_xlfn.IFS(G128&lt;30,"&lt;30",LoanData!G128&lt;40,"30-40",LoanData!G128&lt;50,"40-50",LoanData!G128&gt;=50,"50+")</f>
        <v>40-50</v>
      </c>
      <c r="I128" s="3">
        <v>45335</v>
      </c>
      <c r="J128" s="4">
        <v>974000</v>
      </c>
      <c r="K128" s="2">
        <v>48</v>
      </c>
      <c r="L128" s="5">
        <v>13.7</v>
      </c>
      <c r="M128" s="4">
        <v>26470</v>
      </c>
      <c r="N128" s="2">
        <v>5</v>
      </c>
      <c r="O128" s="2">
        <v>5</v>
      </c>
      <c r="P128" s="4">
        <v>132350</v>
      </c>
      <c r="Q128" s="4">
        <v>895478</v>
      </c>
      <c r="R128" s="2">
        <v>0</v>
      </c>
      <c r="S128" s="2" t="s">
        <v>25</v>
      </c>
      <c r="T128" s="4">
        <v>53828</v>
      </c>
    </row>
    <row r="129" spans="1:20" x14ac:dyDescent="0.3">
      <c r="A129" s="6" t="s">
        <v>296</v>
      </c>
      <c r="B129" s="6" t="s">
        <v>40</v>
      </c>
      <c r="C129" s="6" t="s">
        <v>34</v>
      </c>
      <c r="D129" s="6" t="s">
        <v>57</v>
      </c>
      <c r="E129" s="6" t="s">
        <v>297</v>
      </c>
      <c r="F129" s="6" t="s">
        <v>24</v>
      </c>
      <c r="G129" s="6">
        <v>52</v>
      </c>
      <c r="H129" s="2" t="str" cm="1">
        <f t="array" ref="H129">_xlfn.IFS(G129&lt;30,"&lt;30",LoanData!G129&lt;40,"30-40",LoanData!G129&lt;50,"40-50",LoanData!G129&gt;=50,"50+")</f>
        <v>50+</v>
      </c>
      <c r="I129" s="7">
        <v>45310</v>
      </c>
      <c r="J129" s="8">
        <v>355000</v>
      </c>
      <c r="K129" s="6">
        <v>60</v>
      </c>
      <c r="L129" s="9">
        <v>15.2</v>
      </c>
      <c r="M129" s="8">
        <v>8483</v>
      </c>
      <c r="N129" s="6">
        <v>6</v>
      </c>
      <c r="O129" s="6">
        <v>6</v>
      </c>
      <c r="P129" s="8">
        <v>50898</v>
      </c>
      <c r="Q129" s="8">
        <v>330313</v>
      </c>
      <c r="R129" s="6">
        <v>0</v>
      </c>
      <c r="S129" s="6" t="s">
        <v>25</v>
      </c>
      <c r="T129" s="8">
        <v>26211</v>
      </c>
    </row>
    <row r="130" spans="1:20" x14ac:dyDescent="0.3">
      <c r="A130" s="2" t="s">
        <v>298</v>
      </c>
      <c r="B130" s="2" t="s">
        <v>52</v>
      </c>
      <c r="C130" s="2" t="s">
        <v>53</v>
      </c>
      <c r="D130" s="2" t="s">
        <v>29</v>
      </c>
      <c r="E130" s="2" t="s">
        <v>299</v>
      </c>
      <c r="F130" s="2" t="s">
        <v>31</v>
      </c>
      <c r="G130" s="2">
        <v>27</v>
      </c>
      <c r="H130" s="2" t="str" cm="1">
        <f t="array" ref="H130">_xlfn.IFS(G130&lt;30,"&lt;30",LoanData!G130&lt;40,"30-40",LoanData!G130&lt;50,"40-50",LoanData!G130&gt;=50,"50+")</f>
        <v>&lt;30</v>
      </c>
      <c r="I130" s="3">
        <v>45323</v>
      </c>
      <c r="J130" s="4">
        <v>77000</v>
      </c>
      <c r="K130" s="2">
        <v>24</v>
      </c>
      <c r="L130" s="5">
        <v>11</v>
      </c>
      <c r="M130" s="4">
        <v>3589</v>
      </c>
      <c r="N130" s="2">
        <v>5</v>
      </c>
      <c r="O130" s="2">
        <v>5</v>
      </c>
      <c r="P130" s="4">
        <v>17945</v>
      </c>
      <c r="Q130" s="4">
        <v>62318</v>
      </c>
      <c r="R130" s="2">
        <v>0</v>
      </c>
      <c r="S130" s="2" t="s">
        <v>25</v>
      </c>
      <c r="T130" s="4">
        <v>3263</v>
      </c>
    </row>
    <row r="131" spans="1:20" x14ac:dyDescent="0.3">
      <c r="A131" s="6" t="s">
        <v>300</v>
      </c>
      <c r="B131" s="6" t="s">
        <v>52</v>
      </c>
      <c r="C131" s="6" t="s">
        <v>53</v>
      </c>
      <c r="D131" s="6" t="s">
        <v>22</v>
      </c>
      <c r="E131" s="6" t="s">
        <v>301</v>
      </c>
      <c r="F131" s="6" t="s">
        <v>42</v>
      </c>
      <c r="G131" s="6">
        <v>55</v>
      </c>
      <c r="H131" s="2" t="str" cm="1">
        <f t="array" ref="H131">_xlfn.IFS(G131&lt;30,"&lt;30",LoanData!G131&lt;40,"30-40",LoanData!G131&lt;50,"40-50",LoanData!G131&gt;=50,"50+")</f>
        <v>50+</v>
      </c>
      <c r="I131" s="7">
        <v>45429</v>
      </c>
      <c r="J131" s="8">
        <v>1161000</v>
      </c>
      <c r="K131" s="6">
        <v>36</v>
      </c>
      <c r="L131" s="9">
        <v>12.2</v>
      </c>
      <c r="M131" s="8">
        <v>38673</v>
      </c>
      <c r="N131" s="6">
        <v>2</v>
      </c>
      <c r="O131" s="6">
        <v>2</v>
      </c>
      <c r="P131" s="8">
        <v>77346</v>
      </c>
      <c r="Q131" s="8">
        <v>1106988</v>
      </c>
      <c r="R131" s="6">
        <v>0</v>
      </c>
      <c r="S131" s="6" t="s">
        <v>25</v>
      </c>
      <c r="T131" s="8">
        <v>23334</v>
      </c>
    </row>
    <row r="132" spans="1:20" x14ac:dyDescent="0.3">
      <c r="A132" s="2" t="s">
        <v>302</v>
      </c>
      <c r="B132" s="2" t="s">
        <v>27</v>
      </c>
      <c r="C132" s="2" t="s">
        <v>28</v>
      </c>
      <c r="D132" s="2" t="s">
        <v>29</v>
      </c>
      <c r="E132" s="2" t="s">
        <v>303</v>
      </c>
      <c r="F132" s="2" t="s">
        <v>31</v>
      </c>
      <c r="G132" s="2">
        <v>45</v>
      </c>
      <c r="H132" s="2" t="str" cm="1">
        <f t="array" ref="H132">_xlfn.IFS(G132&lt;30,"&lt;30",LoanData!G132&lt;40,"30-40",LoanData!G132&lt;50,"40-50",LoanData!G132&gt;=50,"50+")</f>
        <v>40-50</v>
      </c>
      <c r="I132" s="3">
        <v>45463</v>
      </c>
      <c r="J132" s="4">
        <v>240000</v>
      </c>
      <c r="K132" s="2">
        <v>12</v>
      </c>
      <c r="L132" s="5">
        <v>10.8</v>
      </c>
      <c r="M132" s="4">
        <v>21189</v>
      </c>
      <c r="N132" s="2">
        <v>1</v>
      </c>
      <c r="O132" s="2">
        <v>1</v>
      </c>
      <c r="P132" s="4">
        <v>21189</v>
      </c>
      <c r="Q132" s="4">
        <v>220971</v>
      </c>
      <c r="R132" s="2">
        <v>0</v>
      </c>
      <c r="S132" s="2" t="s">
        <v>25</v>
      </c>
      <c r="T132" s="4">
        <v>2160</v>
      </c>
    </row>
    <row r="133" spans="1:20" x14ac:dyDescent="0.3">
      <c r="A133" s="6" t="s">
        <v>304</v>
      </c>
      <c r="B133" s="6" t="s">
        <v>40</v>
      </c>
      <c r="C133" s="6" t="s">
        <v>34</v>
      </c>
      <c r="D133" s="6" t="s">
        <v>22</v>
      </c>
      <c r="E133" s="6" t="s">
        <v>305</v>
      </c>
      <c r="F133" s="6" t="s">
        <v>42</v>
      </c>
      <c r="G133" s="6">
        <v>56</v>
      </c>
      <c r="H133" s="2" t="str" cm="1">
        <f t="array" ref="H133">_xlfn.IFS(G133&lt;30,"&lt;30",LoanData!G133&lt;40,"30-40",LoanData!G133&lt;50,"40-50",LoanData!G133&gt;=50,"50+")</f>
        <v>50+</v>
      </c>
      <c r="I133" s="7">
        <v>45408</v>
      </c>
      <c r="J133" s="8">
        <v>139000</v>
      </c>
      <c r="K133" s="6">
        <v>24</v>
      </c>
      <c r="L133" s="9">
        <v>13.3</v>
      </c>
      <c r="M133" s="8">
        <v>6628</v>
      </c>
      <c r="N133" s="6">
        <v>3</v>
      </c>
      <c r="O133" s="6">
        <v>3</v>
      </c>
      <c r="P133" s="8">
        <v>19884</v>
      </c>
      <c r="Q133" s="8">
        <v>123568</v>
      </c>
      <c r="R133" s="6">
        <v>0</v>
      </c>
      <c r="S133" s="6" t="s">
        <v>25</v>
      </c>
      <c r="T133" s="8">
        <v>4452</v>
      </c>
    </row>
    <row r="134" spans="1:20" x14ac:dyDescent="0.3">
      <c r="A134" s="2" t="s">
        <v>306</v>
      </c>
      <c r="B134" s="2" t="s">
        <v>40</v>
      </c>
      <c r="C134" s="2" t="s">
        <v>34</v>
      </c>
      <c r="D134" s="2" t="s">
        <v>29</v>
      </c>
      <c r="E134" s="2" t="s">
        <v>307</v>
      </c>
      <c r="F134" s="2" t="s">
        <v>31</v>
      </c>
      <c r="G134" s="2">
        <v>32</v>
      </c>
      <c r="H134" s="2" t="str" cm="1">
        <f t="array" ref="H134">_xlfn.IFS(G134&lt;30,"&lt;30",LoanData!G134&lt;40,"30-40",LoanData!G134&lt;50,"40-50",LoanData!G134&gt;=50,"50+")</f>
        <v>30-40</v>
      </c>
      <c r="I134" s="3">
        <v>45363</v>
      </c>
      <c r="J134" s="4">
        <v>77000</v>
      </c>
      <c r="K134" s="2">
        <v>6</v>
      </c>
      <c r="L134" s="5">
        <v>11.7</v>
      </c>
      <c r="M134" s="4">
        <v>13275</v>
      </c>
      <c r="N134" s="2">
        <v>4</v>
      </c>
      <c r="O134" s="2">
        <v>4</v>
      </c>
      <c r="P134" s="4">
        <v>53100</v>
      </c>
      <c r="Q134" s="4">
        <v>26166</v>
      </c>
      <c r="R134" s="2">
        <v>0</v>
      </c>
      <c r="S134" s="2" t="s">
        <v>25</v>
      </c>
      <c r="T134" s="4">
        <v>2266</v>
      </c>
    </row>
    <row r="135" spans="1:20" x14ac:dyDescent="0.3">
      <c r="A135" s="6" t="s">
        <v>308</v>
      </c>
      <c r="B135" s="6" t="s">
        <v>20</v>
      </c>
      <c r="C135" s="6" t="s">
        <v>21</v>
      </c>
      <c r="D135" s="6" t="s">
        <v>49</v>
      </c>
      <c r="E135" s="6" t="s">
        <v>309</v>
      </c>
      <c r="F135" s="6" t="s">
        <v>31</v>
      </c>
      <c r="G135" s="6">
        <v>49</v>
      </c>
      <c r="H135" s="2" t="str" cm="1">
        <f t="array" ref="H135">_xlfn.IFS(G135&lt;30,"&lt;30",LoanData!G135&lt;40,"30-40",LoanData!G135&lt;50,"40-50",LoanData!G135&gt;=50,"50+")</f>
        <v>40-50</v>
      </c>
      <c r="I135" s="7">
        <v>45439</v>
      </c>
      <c r="J135" s="8">
        <v>417000</v>
      </c>
      <c r="K135" s="6">
        <v>24</v>
      </c>
      <c r="L135" s="9">
        <v>11.1</v>
      </c>
      <c r="M135" s="8">
        <v>19455</v>
      </c>
      <c r="N135" s="6">
        <v>2</v>
      </c>
      <c r="O135" s="6">
        <v>1</v>
      </c>
      <c r="P135" s="8">
        <v>19455</v>
      </c>
      <c r="Q135" s="8">
        <v>401402</v>
      </c>
      <c r="R135" s="6">
        <v>14</v>
      </c>
      <c r="S135" s="6" t="s">
        <v>47</v>
      </c>
      <c r="T135" s="8">
        <v>3857</v>
      </c>
    </row>
    <row r="136" spans="1:20" x14ac:dyDescent="0.3">
      <c r="A136" s="2" t="s">
        <v>310</v>
      </c>
      <c r="B136" s="2" t="s">
        <v>52</v>
      </c>
      <c r="C136" s="2" t="s">
        <v>53</v>
      </c>
      <c r="D136" s="2" t="s">
        <v>29</v>
      </c>
      <c r="E136" s="2" t="s">
        <v>311</v>
      </c>
      <c r="F136" s="2" t="s">
        <v>42</v>
      </c>
      <c r="G136" s="2">
        <v>54</v>
      </c>
      <c r="H136" s="2" t="str" cm="1">
        <f t="array" ref="H136">_xlfn.IFS(G136&lt;30,"&lt;30",LoanData!G136&lt;40,"30-40",LoanData!G136&lt;50,"40-50",LoanData!G136&gt;=50,"50+")</f>
        <v>50+</v>
      </c>
      <c r="I136" s="3">
        <v>45326</v>
      </c>
      <c r="J136" s="4">
        <v>148000</v>
      </c>
      <c r="K136" s="2">
        <v>24</v>
      </c>
      <c r="L136" s="5">
        <v>11.8</v>
      </c>
      <c r="M136" s="4">
        <v>6953</v>
      </c>
      <c r="N136" s="2">
        <v>5</v>
      </c>
      <c r="O136" s="2">
        <v>5</v>
      </c>
      <c r="P136" s="4">
        <v>34765</v>
      </c>
      <c r="Q136" s="4">
        <v>119965</v>
      </c>
      <c r="R136" s="2">
        <v>0</v>
      </c>
      <c r="S136" s="2" t="s">
        <v>25</v>
      </c>
      <c r="T136" s="4">
        <v>6730</v>
      </c>
    </row>
    <row r="137" spans="1:20" x14ac:dyDescent="0.3">
      <c r="A137" s="6" t="s">
        <v>312</v>
      </c>
      <c r="B137" s="6" t="s">
        <v>65</v>
      </c>
      <c r="C137" s="6" t="s">
        <v>28</v>
      </c>
      <c r="D137" s="6" t="s">
        <v>35</v>
      </c>
      <c r="E137" s="6" t="s">
        <v>313</v>
      </c>
      <c r="F137" s="6" t="s">
        <v>42</v>
      </c>
      <c r="G137" s="6">
        <v>34</v>
      </c>
      <c r="H137" s="2" t="str" cm="1">
        <f t="array" ref="H137">_xlfn.IFS(G137&lt;30,"&lt;30",LoanData!G137&lt;40,"30-40",LoanData!G137&lt;50,"40-50",LoanData!G137&gt;=50,"50+")</f>
        <v>30-40</v>
      </c>
      <c r="I137" s="7">
        <v>45374</v>
      </c>
      <c r="J137" s="8">
        <v>288000</v>
      </c>
      <c r="K137" s="6">
        <v>12</v>
      </c>
      <c r="L137" s="9">
        <v>17.7</v>
      </c>
      <c r="M137" s="8">
        <v>26363</v>
      </c>
      <c r="N137" s="6">
        <v>4</v>
      </c>
      <c r="O137" s="6">
        <v>3</v>
      </c>
      <c r="P137" s="8">
        <v>79089</v>
      </c>
      <c r="Q137" s="8">
        <v>220672</v>
      </c>
      <c r="R137" s="6">
        <v>43</v>
      </c>
      <c r="S137" s="6" t="s">
        <v>47</v>
      </c>
      <c r="T137" s="8">
        <v>11761</v>
      </c>
    </row>
    <row r="138" spans="1:20" x14ac:dyDescent="0.3">
      <c r="A138" s="2" t="s">
        <v>314</v>
      </c>
      <c r="B138" s="2" t="s">
        <v>60</v>
      </c>
      <c r="C138" s="2" t="s">
        <v>21</v>
      </c>
      <c r="D138" s="2" t="s">
        <v>49</v>
      </c>
      <c r="E138" s="2" t="s">
        <v>315</v>
      </c>
      <c r="F138" s="2" t="s">
        <v>24</v>
      </c>
      <c r="G138" s="2">
        <v>24</v>
      </c>
      <c r="H138" s="2" t="str" cm="1">
        <f t="array" ref="H138">_xlfn.IFS(G138&lt;30,"&lt;30",LoanData!G138&lt;40,"30-40",LoanData!G138&lt;50,"40-50",LoanData!G138&gt;=50,"50+")</f>
        <v>&lt;30</v>
      </c>
      <c r="I138" s="3">
        <v>45437</v>
      </c>
      <c r="J138" s="4">
        <v>258000</v>
      </c>
      <c r="K138" s="2">
        <v>24</v>
      </c>
      <c r="L138" s="5">
        <v>13.7</v>
      </c>
      <c r="M138" s="4">
        <v>12351</v>
      </c>
      <c r="N138" s="2">
        <v>2</v>
      </c>
      <c r="O138" s="2">
        <v>2</v>
      </c>
      <c r="P138" s="4">
        <v>24702</v>
      </c>
      <c r="Q138" s="4">
        <v>239082</v>
      </c>
      <c r="R138" s="2">
        <v>0</v>
      </c>
      <c r="S138" s="2" t="s">
        <v>25</v>
      </c>
      <c r="T138" s="4">
        <v>5784</v>
      </c>
    </row>
    <row r="139" spans="1:20" x14ac:dyDescent="0.3">
      <c r="A139" s="6" t="s">
        <v>316</v>
      </c>
      <c r="B139" s="6" t="s">
        <v>33</v>
      </c>
      <c r="C139" s="6" t="s">
        <v>34</v>
      </c>
      <c r="D139" s="6" t="s">
        <v>29</v>
      </c>
      <c r="E139" s="6" t="s">
        <v>317</v>
      </c>
      <c r="F139" s="6" t="s">
        <v>24</v>
      </c>
      <c r="G139" s="6">
        <v>43</v>
      </c>
      <c r="H139" s="2" t="str" cm="1">
        <f t="array" ref="H139">_xlfn.IFS(G139&lt;30,"&lt;30",LoanData!G139&lt;40,"30-40",LoanData!G139&lt;50,"40-50",LoanData!G139&gt;=50,"50+")</f>
        <v>40-50</v>
      </c>
      <c r="I139" s="7">
        <v>45308</v>
      </c>
      <c r="J139" s="8">
        <v>48000</v>
      </c>
      <c r="K139" s="6">
        <v>6</v>
      </c>
      <c r="L139" s="9">
        <v>10.6</v>
      </c>
      <c r="M139" s="8">
        <v>8249</v>
      </c>
      <c r="N139" s="6">
        <v>6</v>
      </c>
      <c r="O139" s="6">
        <v>6</v>
      </c>
      <c r="P139" s="8">
        <v>49494</v>
      </c>
      <c r="Q139" s="8">
        <v>0</v>
      </c>
      <c r="R139" s="6">
        <v>0</v>
      </c>
      <c r="S139" s="6" t="s">
        <v>25</v>
      </c>
      <c r="T139" s="8">
        <v>1494</v>
      </c>
    </row>
    <row r="140" spans="1:20" x14ac:dyDescent="0.3">
      <c r="A140" s="2" t="s">
        <v>318</v>
      </c>
      <c r="B140" s="2" t="s">
        <v>80</v>
      </c>
      <c r="C140" s="2" t="s">
        <v>53</v>
      </c>
      <c r="D140" s="2" t="s">
        <v>57</v>
      </c>
      <c r="E140" s="2" t="s">
        <v>319</v>
      </c>
      <c r="F140" s="2" t="s">
        <v>31</v>
      </c>
      <c r="G140" s="2">
        <v>27</v>
      </c>
      <c r="H140" s="2" t="str" cm="1">
        <f t="array" ref="H140">_xlfn.IFS(G140&lt;30,"&lt;30",LoanData!G140&lt;40,"30-40",LoanData!G140&lt;50,"40-50",LoanData!G140&gt;=50,"50+")</f>
        <v>&lt;30</v>
      </c>
      <c r="I140" s="3">
        <v>45307</v>
      </c>
      <c r="J140" s="4">
        <v>343000</v>
      </c>
      <c r="K140" s="2">
        <v>24</v>
      </c>
      <c r="L140" s="5">
        <v>12.9</v>
      </c>
      <c r="M140" s="4">
        <v>16291</v>
      </c>
      <c r="N140" s="2">
        <v>6</v>
      </c>
      <c r="O140" s="2">
        <v>6</v>
      </c>
      <c r="P140" s="4">
        <v>97746</v>
      </c>
      <c r="Q140" s="4">
        <v>265317</v>
      </c>
      <c r="R140" s="2">
        <v>0</v>
      </c>
      <c r="S140" s="2" t="s">
        <v>25</v>
      </c>
      <c r="T140" s="4">
        <v>20063</v>
      </c>
    </row>
    <row r="141" spans="1:20" x14ac:dyDescent="0.3">
      <c r="A141" s="6" t="s">
        <v>320</v>
      </c>
      <c r="B141" s="6" t="s">
        <v>33</v>
      </c>
      <c r="C141" s="6" t="s">
        <v>34</v>
      </c>
      <c r="D141" s="6" t="s">
        <v>22</v>
      </c>
      <c r="E141" s="6" t="s">
        <v>321</v>
      </c>
      <c r="F141" s="6" t="s">
        <v>42</v>
      </c>
      <c r="G141" s="6">
        <v>33</v>
      </c>
      <c r="H141" s="2" t="str" cm="1">
        <f t="array" ref="H141">_xlfn.IFS(G141&lt;30,"&lt;30",LoanData!G141&lt;40,"30-40",LoanData!G141&lt;50,"40-50",LoanData!G141&gt;=50,"50+")</f>
        <v>30-40</v>
      </c>
      <c r="I141" s="7">
        <v>45350</v>
      </c>
      <c r="J141" s="8">
        <v>1231000</v>
      </c>
      <c r="K141" s="6">
        <v>36</v>
      </c>
      <c r="L141" s="9">
        <v>11.6</v>
      </c>
      <c r="M141" s="8">
        <v>40652</v>
      </c>
      <c r="N141" s="6">
        <v>5</v>
      </c>
      <c r="O141" s="6">
        <v>5</v>
      </c>
      <c r="P141" s="8">
        <v>203260</v>
      </c>
      <c r="Q141" s="8">
        <v>1084432</v>
      </c>
      <c r="R141" s="6">
        <v>0</v>
      </c>
      <c r="S141" s="6" t="s">
        <v>25</v>
      </c>
      <c r="T141" s="8">
        <v>56692</v>
      </c>
    </row>
    <row r="142" spans="1:20" x14ac:dyDescent="0.3">
      <c r="A142" s="2" t="s">
        <v>322</v>
      </c>
      <c r="B142" s="2" t="s">
        <v>27</v>
      </c>
      <c r="C142" s="2" t="s">
        <v>28</v>
      </c>
      <c r="D142" s="2" t="s">
        <v>49</v>
      </c>
      <c r="E142" s="2" t="s">
        <v>323</v>
      </c>
      <c r="F142" s="2" t="s">
        <v>24</v>
      </c>
      <c r="G142" s="2">
        <v>45</v>
      </c>
      <c r="H142" s="2" t="str" cm="1">
        <f t="array" ref="H142">_xlfn.IFS(G142&lt;30,"&lt;30",LoanData!G142&lt;40,"30-40",LoanData!G142&lt;50,"40-50",LoanData!G142&gt;=50,"50+")</f>
        <v>40-50</v>
      </c>
      <c r="I142" s="3">
        <v>45330</v>
      </c>
      <c r="J142" s="4">
        <v>751000</v>
      </c>
      <c r="K142" s="2">
        <v>36</v>
      </c>
      <c r="L142" s="5">
        <v>14.4</v>
      </c>
      <c r="M142" s="4">
        <v>25814</v>
      </c>
      <c r="N142" s="2">
        <v>5</v>
      </c>
      <c r="O142" s="2">
        <v>5</v>
      </c>
      <c r="P142" s="4">
        <v>129070</v>
      </c>
      <c r="Q142" s="4">
        <v>664952</v>
      </c>
      <c r="R142" s="2">
        <v>0</v>
      </c>
      <c r="S142" s="2" t="s">
        <v>25</v>
      </c>
      <c r="T142" s="4">
        <v>43022</v>
      </c>
    </row>
    <row r="143" spans="1:20" x14ac:dyDescent="0.3">
      <c r="A143" s="6" t="s">
        <v>324</v>
      </c>
      <c r="B143" s="6" t="s">
        <v>27</v>
      </c>
      <c r="C143" s="6" t="s">
        <v>28</v>
      </c>
      <c r="D143" s="6" t="s">
        <v>22</v>
      </c>
      <c r="E143" s="6" t="s">
        <v>325</v>
      </c>
      <c r="F143" s="6" t="s">
        <v>31</v>
      </c>
      <c r="G143" s="6">
        <v>43</v>
      </c>
      <c r="H143" s="2" t="str" cm="1">
        <f t="array" ref="H143">_xlfn.IFS(G143&lt;30,"&lt;30",LoanData!G143&lt;40,"30-40",LoanData!G143&lt;50,"40-50",LoanData!G143&gt;=50,"50+")</f>
        <v>40-50</v>
      </c>
      <c r="I143" s="7">
        <v>45434</v>
      </c>
      <c r="J143" s="8">
        <v>412000</v>
      </c>
      <c r="K143" s="6">
        <v>24</v>
      </c>
      <c r="L143" s="9">
        <v>11.5</v>
      </c>
      <c r="M143" s="8">
        <v>19298</v>
      </c>
      <c r="N143" s="6">
        <v>2</v>
      </c>
      <c r="O143" s="6">
        <v>2</v>
      </c>
      <c r="P143" s="8">
        <v>38596</v>
      </c>
      <c r="Q143" s="8">
        <v>381153</v>
      </c>
      <c r="R143" s="6">
        <v>0</v>
      </c>
      <c r="S143" s="6" t="s">
        <v>25</v>
      </c>
      <c r="T143" s="8">
        <v>7749</v>
      </c>
    </row>
    <row r="144" spans="1:20" x14ac:dyDescent="0.3">
      <c r="A144" s="2" t="s">
        <v>326</v>
      </c>
      <c r="B144" s="2" t="s">
        <v>60</v>
      </c>
      <c r="C144" s="2" t="s">
        <v>21</v>
      </c>
      <c r="D144" s="2" t="s">
        <v>49</v>
      </c>
      <c r="E144" s="2" t="s">
        <v>327</v>
      </c>
      <c r="F144" s="2" t="s">
        <v>31</v>
      </c>
      <c r="G144" s="2">
        <v>57</v>
      </c>
      <c r="H144" s="2" t="str" cm="1">
        <f t="array" ref="H144">_xlfn.IFS(G144&lt;30,"&lt;30",LoanData!G144&lt;40,"30-40",LoanData!G144&lt;50,"40-50",LoanData!G144&gt;=50,"50+")</f>
        <v>50+</v>
      </c>
      <c r="I144" s="3">
        <v>45326</v>
      </c>
      <c r="J144" s="4">
        <v>102000</v>
      </c>
      <c r="K144" s="2">
        <v>36</v>
      </c>
      <c r="L144" s="5">
        <v>12.7</v>
      </c>
      <c r="M144" s="4">
        <v>3422</v>
      </c>
      <c r="N144" s="2">
        <v>5</v>
      </c>
      <c r="O144" s="2">
        <v>3</v>
      </c>
      <c r="P144" s="4">
        <v>10266</v>
      </c>
      <c r="Q144" s="4">
        <v>94898</v>
      </c>
      <c r="R144" s="2">
        <v>63</v>
      </c>
      <c r="S144" s="2" t="s">
        <v>47</v>
      </c>
      <c r="T144" s="4">
        <v>3164</v>
      </c>
    </row>
    <row r="145" spans="1:20" x14ac:dyDescent="0.3">
      <c r="A145" s="6" t="s">
        <v>328</v>
      </c>
      <c r="B145" s="6" t="s">
        <v>40</v>
      </c>
      <c r="C145" s="6" t="s">
        <v>34</v>
      </c>
      <c r="D145" s="6" t="s">
        <v>35</v>
      </c>
      <c r="E145" s="6" t="s">
        <v>329</v>
      </c>
      <c r="F145" s="6" t="s">
        <v>31</v>
      </c>
      <c r="G145" s="6">
        <v>40</v>
      </c>
      <c r="H145" s="2" t="str" cm="1">
        <f t="array" ref="H145">_xlfn.IFS(G145&lt;30,"&lt;30",LoanData!G145&lt;40,"30-40",LoanData!G145&lt;50,"40-50",LoanData!G145&gt;=50,"50+")</f>
        <v>40-50</v>
      </c>
      <c r="I145" s="7">
        <v>45347</v>
      </c>
      <c r="J145" s="8">
        <v>320000</v>
      </c>
      <c r="K145" s="6">
        <v>24</v>
      </c>
      <c r="L145" s="9">
        <v>14.2</v>
      </c>
      <c r="M145" s="8">
        <v>15394</v>
      </c>
      <c r="N145" s="6">
        <v>5</v>
      </c>
      <c r="O145" s="6">
        <v>5</v>
      </c>
      <c r="P145" s="8">
        <v>76970</v>
      </c>
      <c r="Q145" s="8">
        <v>260572</v>
      </c>
      <c r="R145" s="6">
        <v>0</v>
      </c>
      <c r="S145" s="6" t="s">
        <v>25</v>
      </c>
      <c r="T145" s="8">
        <v>17542</v>
      </c>
    </row>
    <row r="146" spans="1:20" x14ac:dyDescent="0.3">
      <c r="A146" s="2" t="s">
        <v>330</v>
      </c>
      <c r="B146" s="2" t="s">
        <v>60</v>
      </c>
      <c r="C146" s="2" t="s">
        <v>21</v>
      </c>
      <c r="D146" s="2" t="s">
        <v>35</v>
      </c>
      <c r="E146" s="2" t="s">
        <v>331</v>
      </c>
      <c r="F146" s="2" t="s">
        <v>42</v>
      </c>
      <c r="G146" s="2">
        <v>56</v>
      </c>
      <c r="H146" s="2" t="str" cm="1">
        <f t="array" ref="H146">_xlfn.IFS(G146&lt;30,"&lt;30",LoanData!G146&lt;40,"30-40",LoanData!G146&lt;50,"40-50",LoanData!G146&gt;=50,"50+")</f>
        <v>50+</v>
      </c>
      <c r="I146" s="3">
        <v>45390</v>
      </c>
      <c r="J146" s="4">
        <v>381000</v>
      </c>
      <c r="K146" s="2">
        <v>24</v>
      </c>
      <c r="L146" s="5">
        <v>17.399999999999999</v>
      </c>
      <c r="M146" s="4">
        <v>18911</v>
      </c>
      <c r="N146" s="2">
        <v>3</v>
      </c>
      <c r="O146" s="2">
        <v>2</v>
      </c>
      <c r="P146" s="4">
        <v>37822</v>
      </c>
      <c r="Q146" s="4">
        <v>354033</v>
      </c>
      <c r="R146" s="2">
        <v>9</v>
      </c>
      <c r="S146" s="2" t="s">
        <v>47</v>
      </c>
      <c r="T146" s="4">
        <v>10855</v>
      </c>
    </row>
    <row r="147" spans="1:20" x14ac:dyDescent="0.3">
      <c r="A147" s="6" t="s">
        <v>332</v>
      </c>
      <c r="B147" s="6" t="s">
        <v>65</v>
      </c>
      <c r="C147" s="6" t="s">
        <v>28</v>
      </c>
      <c r="D147" s="6" t="s">
        <v>29</v>
      </c>
      <c r="E147" s="6" t="s">
        <v>333</v>
      </c>
      <c r="F147" s="6" t="s">
        <v>24</v>
      </c>
      <c r="G147" s="6">
        <v>58</v>
      </c>
      <c r="H147" s="2" t="str" cm="1">
        <f t="array" ref="H147">_xlfn.IFS(G147&lt;30,"&lt;30",LoanData!G147&lt;40,"30-40",LoanData!G147&lt;50,"40-50",LoanData!G147&gt;=50,"50+")</f>
        <v>50+</v>
      </c>
      <c r="I147" s="7">
        <v>45344</v>
      </c>
      <c r="J147" s="8">
        <v>157000</v>
      </c>
      <c r="K147" s="6">
        <v>12</v>
      </c>
      <c r="L147" s="9">
        <v>11.1</v>
      </c>
      <c r="M147" s="8">
        <v>13883</v>
      </c>
      <c r="N147" s="6">
        <v>5</v>
      </c>
      <c r="O147" s="6">
        <v>5</v>
      </c>
      <c r="P147" s="8">
        <v>69415</v>
      </c>
      <c r="Q147" s="8">
        <v>93684</v>
      </c>
      <c r="R147" s="6">
        <v>0</v>
      </c>
      <c r="S147" s="6" t="s">
        <v>25</v>
      </c>
      <c r="T147" s="8">
        <v>6099</v>
      </c>
    </row>
    <row r="148" spans="1:20" x14ac:dyDescent="0.3">
      <c r="A148" s="2" t="s">
        <v>334</v>
      </c>
      <c r="B148" s="2" t="s">
        <v>80</v>
      </c>
      <c r="C148" s="2" t="s">
        <v>53</v>
      </c>
      <c r="D148" s="2" t="s">
        <v>29</v>
      </c>
      <c r="E148" s="2" t="s">
        <v>335</v>
      </c>
      <c r="F148" s="2" t="s">
        <v>42</v>
      </c>
      <c r="G148" s="2">
        <v>54</v>
      </c>
      <c r="H148" s="2" t="str" cm="1">
        <f t="array" ref="H148">_xlfn.IFS(G148&lt;30,"&lt;30",LoanData!G148&lt;40,"30-40",LoanData!G148&lt;50,"40-50",LoanData!G148&gt;=50,"50+")</f>
        <v>50+</v>
      </c>
      <c r="I148" s="3">
        <v>45316</v>
      </c>
      <c r="J148" s="4">
        <v>189000</v>
      </c>
      <c r="K148" s="2">
        <v>24</v>
      </c>
      <c r="L148" s="5">
        <v>10</v>
      </c>
      <c r="M148" s="4">
        <v>8721</v>
      </c>
      <c r="N148" s="2">
        <v>6</v>
      </c>
      <c r="O148" s="2">
        <v>6</v>
      </c>
      <c r="P148" s="4">
        <v>52326</v>
      </c>
      <c r="Q148" s="4">
        <v>145218</v>
      </c>
      <c r="R148" s="2">
        <v>0</v>
      </c>
      <c r="S148" s="2" t="s">
        <v>25</v>
      </c>
      <c r="T148" s="4">
        <v>8544</v>
      </c>
    </row>
    <row r="149" spans="1:20" x14ac:dyDescent="0.3">
      <c r="A149" s="6" t="s">
        <v>336</v>
      </c>
      <c r="B149" s="6" t="s">
        <v>52</v>
      </c>
      <c r="C149" s="6" t="s">
        <v>53</v>
      </c>
      <c r="D149" s="6" t="s">
        <v>29</v>
      </c>
      <c r="E149" s="6" t="s">
        <v>337</v>
      </c>
      <c r="F149" s="6" t="s">
        <v>42</v>
      </c>
      <c r="G149" s="6">
        <v>30</v>
      </c>
      <c r="H149" s="2" t="str" cm="1">
        <f t="array" ref="H149">_xlfn.IFS(G149&lt;30,"&lt;30",LoanData!G149&lt;40,"30-40",LoanData!G149&lt;50,"40-50",LoanData!G149&gt;=50,"50+")</f>
        <v>30-40</v>
      </c>
      <c r="I149" s="7">
        <v>45309</v>
      </c>
      <c r="J149" s="8">
        <v>106000</v>
      </c>
      <c r="K149" s="6">
        <v>24</v>
      </c>
      <c r="L149" s="9">
        <v>10.199999999999999</v>
      </c>
      <c r="M149" s="8">
        <v>4901</v>
      </c>
      <c r="N149" s="6">
        <v>6</v>
      </c>
      <c r="O149" s="6">
        <v>6</v>
      </c>
      <c r="P149" s="8">
        <v>29406</v>
      </c>
      <c r="Q149" s="8">
        <v>81483</v>
      </c>
      <c r="R149" s="6">
        <v>0</v>
      </c>
      <c r="S149" s="6" t="s">
        <v>25</v>
      </c>
      <c r="T149" s="8">
        <v>4889</v>
      </c>
    </row>
    <row r="150" spans="1:20" x14ac:dyDescent="0.3">
      <c r="A150" s="2" t="s">
        <v>338</v>
      </c>
      <c r="B150" s="2" t="s">
        <v>20</v>
      </c>
      <c r="C150" s="2" t="s">
        <v>21</v>
      </c>
      <c r="D150" s="2" t="s">
        <v>22</v>
      </c>
      <c r="E150" s="2" t="s">
        <v>339</v>
      </c>
      <c r="F150" s="2" t="s">
        <v>31</v>
      </c>
      <c r="G150" s="2">
        <v>34</v>
      </c>
      <c r="H150" s="2" t="str" cm="1">
        <f t="array" ref="H150">_xlfn.IFS(G150&lt;30,"&lt;30",LoanData!G150&lt;40,"30-40",LoanData!G150&lt;50,"40-50",LoanData!G150&gt;=50,"50+")</f>
        <v>30-40</v>
      </c>
      <c r="I150" s="3">
        <v>45297</v>
      </c>
      <c r="J150" s="4">
        <v>740000</v>
      </c>
      <c r="K150" s="2">
        <v>48</v>
      </c>
      <c r="L150" s="5">
        <v>12.5</v>
      </c>
      <c r="M150" s="4">
        <v>19669</v>
      </c>
      <c r="N150" s="2">
        <v>6</v>
      </c>
      <c r="O150" s="2">
        <v>6</v>
      </c>
      <c r="P150" s="4">
        <v>118014</v>
      </c>
      <c r="Q150" s="4">
        <v>666340</v>
      </c>
      <c r="R150" s="2">
        <v>0</v>
      </c>
      <c r="S150" s="2" t="s">
        <v>25</v>
      </c>
      <c r="T150" s="4">
        <v>44354</v>
      </c>
    </row>
    <row r="151" spans="1:20" x14ac:dyDescent="0.3">
      <c r="A151" s="6" t="s">
        <v>340</v>
      </c>
      <c r="B151" s="6" t="s">
        <v>65</v>
      </c>
      <c r="C151" s="6" t="s">
        <v>28</v>
      </c>
      <c r="D151" s="6" t="s">
        <v>57</v>
      </c>
      <c r="E151" s="6" t="s">
        <v>341</v>
      </c>
      <c r="F151" s="6" t="s">
        <v>42</v>
      </c>
      <c r="G151" s="6">
        <v>50</v>
      </c>
      <c r="H151" s="2" t="str" cm="1">
        <f t="array" ref="H151">_xlfn.IFS(G151&lt;30,"&lt;30",LoanData!G151&lt;40,"30-40",LoanData!G151&lt;50,"40-50",LoanData!G151&gt;=50,"50+")</f>
        <v>50+</v>
      </c>
      <c r="I151" s="7">
        <v>45439</v>
      </c>
      <c r="J151" s="8">
        <v>350000</v>
      </c>
      <c r="K151" s="6">
        <v>48</v>
      </c>
      <c r="L151" s="9">
        <v>14.5</v>
      </c>
      <c r="M151" s="8">
        <v>9652</v>
      </c>
      <c r="N151" s="6">
        <v>2</v>
      </c>
      <c r="O151" s="6">
        <v>2</v>
      </c>
      <c r="P151" s="8">
        <v>19304</v>
      </c>
      <c r="Q151" s="8">
        <v>339088</v>
      </c>
      <c r="R151" s="6">
        <v>0</v>
      </c>
      <c r="S151" s="6" t="s">
        <v>25</v>
      </c>
      <c r="T151" s="8">
        <v>8392</v>
      </c>
    </row>
    <row r="152" spans="1:20" x14ac:dyDescent="0.3">
      <c r="A152" s="2" t="s">
        <v>342</v>
      </c>
      <c r="B152" s="2" t="s">
        <v>20</v>
      </c>
      <c r="C152" s="2" t="s">
        <v>21</v>
      </c>
      <c r="D152" s="2" t="s">
        <v>35</v>
      </c>
      <c r="E152" s="2" t="s">
        <v>343</v>
      </c>
      <c r="F152" s="2" t="s">
        <v>31</v>
      </c>
      <c r="G152" s="2">
        <v>48</v>
      </c>
      <c r="H152" s="2" t="str" cm="1">
        <f t="array" ref="H152">_xlfn.IFS(G152&lt;30,"&lt;30",LoanData!G152&lt;40,"30-40",LoanData!G152&lt;50,"40-50",LoanData!G152&gt;=50,"50+")</f>
        <v>40-50</v>
      </c>
      <c r="I152" s="3">
        <v>45334</v>
      </c>
      <c r="J152" s="4">
        <v>405000</v>
      </c>
      <c r="K152" s="2">
        <v>24</v>
      </c>
      <c r="L152" s="5">
        <v>15</v>
      </c>
      <c r="M152" s="4">
        <v>19637</v>
      </c>
      <c r="N152" s="2">
        <v>5</v>
      </c>
      <c r="O152" s="2">
        <v>5</v>
      </c>
      <c r="P152" s="4">
        <v>98185</v>
      </c>
      <c r="Q152" s="4">
        <v>330282</v>
      </c>
      <c r="R152" s="2">
        <v>0</v>
      </c>
      <c r="S152" s="2" t="s">
        <v>25</v>
      </c>
      <c r="T152" s="4">
        <v>23467</v>
      </c>
    </row>
    <row r="153" spans="1:20" x14ac:dyDescent="0.3">
      <c r="A153" s="6" t="s">
        <v>344</v>
      </c>
      <c r="B153" s="6" t="s">
        <v>27</v>
      </c>
      <c r="C153" s="6" t="s">
        <v>28</v>
      </c>
      <c r="D153" s="6" t="s">
        <v>35</v>
      </c>
      <c r="E153" s="6" t="s">
        <v>345</v>
      </c>
      <c r="F153" s="6" t="s">
        <v>24</v>
      </c>
      <c r="G153" s="6">
        <v>45</v>
      </c>
      <c r="H153" s="2" t="str" cm="1">
        <f t="array" ref="H153">_xlfn.IFS(G153&lt;30,"&lt;30",LoanData!G153&lt;40,"30-40",LoanData!G153&lt;50,"40-50",LoanData!G153&gt;=50,"50+")</f>
        <v>40-50</v>
      </c>
      <c r="I153" s="7">
        <v>45295</v>
      </c>
      <c r="J153" s="8">
        <v>423000</v>
      </c>
      <c r="K153" s="6">
        <v>12</v>
      </c>
      <c r="L153" s="9">
        <v>14.2</v>
      </c>
      <c r="M153" s="8">
        <v>38020</v>
      </c>
      <c r="N153" s="6">
        <v>6</v>
      </c>
      <c r="O153" s="6">
        <v>5</v>
      </c>
      <c r="P153" s="8">
        <v>190100</v>
      </c>
      <c r="Q153" s="8">
        <v>253975</v>
      </c>
      <c r="R153" s="6">
        <v>35</v>
      </c>
      <c r="S153" s="6" t="s">
        <v>47</v>
      </c>
      <c r="T153" s="8">
        <v>21075</v>
      </c>
    </row>
    <row r="154" spans="1:20" x14ac:dyDescent="0.3">
      <c r="A154" s="2" t="s">
        <v>346</v>
      </c>
      <c r="B154" s="2" t="s">
        <v>52</v>
      </c>
      <c r="C154" s="2" t="s">
        <v>53</v>
      </c>
      <c r="D154" s="2" t="s">
        <v>57</v>
      </c>
      <c r="E154" s="2" t="s">
        <v>347</v>
      </c>
      <c r="F154" s="2" t="s">
        <v>42</v>
      </c>
      <c r="G154" s="2">
        <v>27</v>
      </c>
      <c r="H154" s="2" t="str" cm="1">
        <f t="array" ref="H154">_xlfn.IFS(G154&lt;30,"&lt;30",LoanData!G154&lt;40,"30-40",LoanData!G154&lt;50,"40-50",LoanData!G154&gt;=50,"50+")</f>
        <v>&lt;30</v>
      </c>
      <c r="I154" s="3">
        <v>45365</v>
      </c>
      <c r="J154" s="4">
        <v>1040000</v>
      </c>
      <c r="K154" s="2">
        <v>36</v>
      </c>
      <c r="L154" s="5">
        <v>15.9</v>
      </c>
      <c r="M154" s="4">
        <v>36512</v>
      </c>
      <c r="N154" s="2">
        <v>4</v>
      </c>
      <c r="O154" s="2">
        <v>2</v>
      </c>
      <c r="P154" s="4">
        <v>73024</v>
      </c>
      <c r="Q154" s="4">
        <v>994235</v>
      </c>
      <c r="R154" s="2">
        <v>48</v>
      </c>
      <c r="S154" s="2" t="s">
        <v>47</v>
      </c>
      <c r="T154" s="4">
        <v>27259</v>
      </c>
    </row>
    <row r="155" spans="1:20" x14ac:dyDescent="0.3">
      <c r="A155" s="6" t="s">
        <v>348</v>
      </c>
      <c r="B155" s="6" t="s">
        <v>27</v>
      </c>
      <c r="C155" s="6" t="s">
        <v>28</v>
      </c>
      <c r="D155" s="6" t="s">
        <v>22</v>
      </c>
      <c r="E155" s="6" t="s">
        <v>349</v>
      </c>
      <c r="F155" s="6" t="s">
        <v>31</v>
      </c>
      <c r="G155" s="6">
        <v>31</v>
      </c>
      <c r="H155" s="2" t="str" cm="1">
        <f t="array" ref="H155">_xlfn.IFS(G155&lt;30,"&lt;30",LoanData!G155&lt;40,"30-40",LoanData!G155&lt;50,"40-50",LoanData!G155&gt;=50,"50+")</f>
        <v>30-40</v>
      </c>
      <c r="I155" s="7">
        <v>45416</v>
      </c>
      <c r="J155" s="8">
        <v>1004000</v>
      </c>
      <c r="K155" s="6">
        <v>36</v>
      </c>
      <c r="L155" s="9">
        <v>13</v>
      </c>
      <c r="M155" s="8">
        <v>33829</v>
      </c>
      <c r="N155" s="6">
        <v>2</v>
      </c>
      <c r="O155" s="6">
        <v>2</v>
      </c>
      <c r="P155" s="8">
        <v>67658</v>
      </c>
      <c r="Q155" s="8">
        <v>957847</v>
      </c>
      <c r="R155" s="6">
        <v>0</v>
      </c>
      <c r="S155" s="6" t="s">
        <v>25</v>
      </c>
      <c r="T155" s="8">
        <v>21505</v>
      </c>
    </row>
    <row r="156" spans="1:20" x14ac:dyDescent="0.3">
      <c r="A156" s="2" t="s">
        <v>350</v>
      </c>
      <c r="B156" s="2" t="s">
        <v>65</v>
      </c>
      <c r="C156" s="2" t="s">
        <v>28</v>
      </c>
      <c r="D156" s="2" t="s">
        <v>57</v>
      </c>
      <c r="E156" s="2" t="s">
        <v>351</v>
      </c>
      <c r="F156" s="2" t="s">
        <v>31</v>
      </c>
      <c r="G156" s="2">
        <v>47</v>
      </c>
      <c r="H156" s="2" t="str" cm="1">
        <f t="array" ref="H156">_xlfn.IFS(G156&lt;30,"&lt;30",LoanData!G156&lt;40,"30-40",LoanData!G156&lt;50,"40-50",LoanData!G156&gt;=50,"50+")</f>
        <v>40-50</v>
      </c>
      <c r="I156" s="3">
        <v>45438</v>
      </c>
      <c r="J156" s="4">
        <v>385000</v>
      </c>
      <c r="K156" s="2">
        <v>36</v>
      </c>
      <c r="L156" s="5">
        <v>13.9</v>
      </c>
      <c r="M156" s="4">
        <v>13140</v>
      </c>
      <c r="N156" s="2">
        <v>2</v>
      </c>
      <c r="O156" s="2">
        <v>2</v>
      </c>
      <c r="P156" s="4">
        <v>26280</v>
      </c>
      <c r="Q156" s="4">
        <v>367539</v>
      </c>
      <c r="R156" s="2">
        <v>0</v>
      </c>
      <c r="S156" s="2" t="s">
        <v>25</v>
      </c>
      <c r="T156" s="4">
        <v>8819</v>
      </c>
    </row>
    <row r="157" spans="1:20" x14ac:dyDescent="0.3">
      <c r="A157" s="6" t="s">
        <v>352</v>
      </c>
      <c r="B157" s="6" t="s">
        <v>20</v>
      </c>
      <c r="C157" s="6" t="s">
        <v>21</v>
      </c>
      <c r="D157" s="6" t="s">
        <v>49</v>
      </c>
      <c r="E157" s="6" t="s">
        <v>353</v>
      </c>
      <c r="F157" s="6" t="s">
        <v>31</v>
      </c>
      <c r="G157" s="6">
        <v>26</v>
      </c>
      <c r="H157" s="2" t="str" cm="1">
        <f t="array" ref="H157">_xlfn.IFS(G157&lt;30,"&lt;30",LoanData!G157&lt;40,"30-40",LoanData!G157&lt;50,"40-50",LoanData!G157&gt;=50,"50+")</f>
        <v>&lt;30</v>
      </c>
      <c r="I157" s="7">
        <v>45308</v>
      </c>
      <c r="J157" s="8">
        <v>655000</v>
      </c>
      <c r="K157" s="6">
        <v>48</v>
      </c>
      <c r="L157" s="9">
        <v>12.5</v>
      </c>
      <c r="M157" s="8">
        <v>17410</v>
      </c>
      <c r="N157" s="6">
        <v>6</v>
      </c>
      <c r="O157" s="6">
        <v>6</v>
      </c>
      <c r="P157" s="8">
        <v>104460</v>
      </c>
      <c r="Q157" s="8">
        <v>589801</v>
      </c>
      <c r="R157" s="6">
        <v>0</v>
      </c>
      <c r="S157" s="6" t="s">
        <v>25</v>
      </c>
      <c r="T157" s="8">
        <v>39261</v>
      </c>
    </row>
    <row r="158" spans="1:20" x14ac:dyDescent="0.3">
      <c r="A158" s="2" t="s">
        <v>354</v>
      </c>
      <c r="B158" s="2" t="s">
        <v>65</v>
      </c>
      <c r="C158" s="2" t="s">
        <v>28</v>
      </c>
      <c r="D158" s="2" t="s">
        <v>29</v>
      </c>
      <c r="E158" s="2" t="s">
        <v>355</v>
      </c>
      <c r="F158" s="2" t="s">
        <v>24</v>
      </c>
      <c r="G158" s="2">
        <v>32</v>
      </c>
      <c r="H158" s="2" t="str" cm="1">
        <f t="array" ref="H158">_xlfn.IFS(G158&lt;30,"&lt;30",LoanData!G158&lt;40,"30-40",LoanData!G158&lt;50,"40-50",LoanData!G158&gt;=50,"50+")</f>
        <v>30-40</v>
      </c>
      <c r="I158" s="3">
        <v>45306</v>
      </c>
      <c r="J158" s="4">
        <v>150000</v>
      </c>
      <c r="K158" s="2">
        <v>6</v>
      </c>
      <c r="L158" s="5">
        <v>11.9</v>
      </c>
      <c r="M158" s="4">
        <v>25875</v>
      </c>
      <c r="N158" s="2">
        <v>6</v>
      </c>
      <c r="O158" s="2">
        <v>6</v>
      </c>
      <c r="P158" s="4">
        <v>155250</v>
      </c>
      <c r="Q158" s="4">
        <v>0</v>
      </c>
      <c r="R158" s="2">
        <v>0</v>
      </c>
      <c r="S158" s="2" t="s">
        <v>25</v>
      </c>
      <c r="T158" s="4">
        <v>5250</v>
      </c>
    </row>
    <row r="159" spans="1:20" x14ac:dyDescent="0.3">
      <c r="A159" s="6" t="s">
        <v>356</v>
      </c>
      <c r="B159" s="6" t="s">
        <v>40</v>
      </c>
      <c r="C159" s="6" t="s">
        <v>34</v>
      </c>
      <c r="D159" s="6" t="s">
        <v>29</v>
      </c>
      <c r="E159" s="6" t="s">
        <v>357</v>
      </c>
      <c r="F159" s="6" t="s">
        <v>31</v>
      </c>
      <c r="G159" s="6">
        <v>32</v>
      </c>
      <c r="H159" s="2" t="str" cm="1">
        <f t="array" ref="H159">_xlfn.IFS(G159&lt;30,"&lt;30",LoanData!G159&lt;40,"30-40",LoanData!G159&lt;50,"40-50",LoanData!G159&gt;=50,"50+")</f>
        <v>30-40</v>
      </c>
      <c r="I159" s="7">
        <v>45463</v>
      </c>
      <c r="J159" s="8">
        <v>161000</v>
      </c>
      <c r="K159" s="6">
        <v>24</v>
      </c>
      <c r="L159" s="9">
        <v>10.4</v>
      </c>
      <c r="M159" s="8">
        <v>7459</v>
      </c>
      <c r="N159" s="6">
        <v>1</v>
      </c>
      <c r="O159" s="6">
        <v>1</v>
      </c>
      <c r="P159" s="8">
        <v>7459</v>
      </c>
      <c r="Q159" s="8">
        <v>154936</v>
      </c>
      <c r="R159" s="6">
        <v>0</v>
      </c>
      <c r="S159" s="6" t="s">
        <v>25</v>
      </c>
      <c r="T159" s="8">
        <v>1395</v>
      </c>
    </row>
    <row r="160" spans="1:20" x14ac:dyDescent="0.3">
      <c r="A160" s="2" t="s">
        <v>358</v>
      </c>
      <c r="B160" s="2" t="s">
        <v>40</v>
      </c>
      <c r="C160" s="2" t="s">
        <v>34</v>
      </c>
      <c r="D160" s="2" t="s">
        <v>35</v>
      </c>
      <c r="E160" s="2" t="s">
        <v>359</v>
      </c>
      <c r="F160" s="2" t="s">
        <v>42</v>
      </c>
      <c r="G160" s="2">
        <v>45</v>
      </c>
      <c r="H160" s="2" t="str" cm="1">
        <f t="array" ref="H160">_xlfn.IFS(G160&lt;30,"&lt;30",LoanData!G160&lt;40,"30-40",LoanData!G160&lt;50,"40-50",LoanData!G160&gt;=50,"50+")</f>
        <v>40-50</v>
      </c>
      <c r="I160" s="3">
        <v>45346</v>
      </c>
      <c r="J160" s="4">
        <v>420000</v>
      </c>
      <c r="K160" s="2">
        <v>12</v>
      </c>
      <c r="L160" s="5">
        <v>14.9</v>
      </c>
      <c r="M160" s="4">
        <v>37889</v>
      </c>
      <c r="N160" s="2">
        <v>5</v>
      </c>
      <c r="O160" s="2">
        <v>0</v>
      </c>
      <c r="P160" s="4">
        <v>0</v>
      </c>
      <c r="Q160" s="4">
        <v>420000</v>
      </c>
      <c r="R160" s="2">
        <v>233</v>
      </c>
      <c r="S160" s="2" t="s">
        <v>55</v>
      </c>
      <c r="T160" s="4">
        <v>0</v>
      </c>
    </row>
    <row r="161" spans="1:20" x14ac:dyDescent="0.3">
      <c r="A161" s="6" t="s">
        <v>360</v>
      </c>
      <c r="B161" s="6" t="s">
        <v>80</v>
      </c>
      <c r="C161" s="6" t="s">
        <v>53</v>
      </c>
      <c r="D161" s="6" t="s">
        <v>35</v>
      </c>
      <c r="E161" s="6" t="s">
        <v>361</v>
      </c>
      <c r="F161" s="6" t="s">
        <v>24</v>
      </c>
      <c r="G161" s="6">
        <v>33</v>
      </c>
      <c r="H161" s="2" t="str" cm="1">
        <f t="array" ref="H161">_xlfn.IFS(G161&lt;30,"&lt;30",LoanData!G161&lt;40,"30-40",LoanData!G161&lt;50,"40-50",LoanData!G161&gt;=50,"50+")</f>
        <v>30-40</v>
      </c>
      <c r="I161" s="7">
        <v>45345</v>
      </c>
      <c r="J161" s="8">
        <v>474000</v>
      </c>
      <c r="K161" s="6">
        <v>12</v>
      </c>
      <c r="L161" s="9">
        <v>14.3</v>
      </c>
      <c r="M161" s="8">
        <v>42626</v>
      </c>
      <c r="N161" s="6">
        <v>5</v>
      </c>
      <c r="O161" s="6">
        <v>3</v>
      </c>
      <c r="P161" s="8">
        <v>127878</v>
      </c>
      <c r="Q161" s="8">
        <v>361740</v>
      </c>
      <c r="R161" s="6">
        <v>75</v>
      </c>
      <c r="S161" s="6" t="s">
        <v>47</v>
      </c>
      <c r="T161" s="8">
        <v>15618</v>
      </c>
    </row>
    <row r="162" spans="1:20" x14ac:dyDescent="0.3">
      <c r="A162" s="2" t="s">
        <v>362</v>
      </c>
      <c r="B162" s="2" t="s">
        <v>27</v>
      </c>
      <c r="C162" s="2" t="s">
        <v>28</v>
      </c>
      <c r="D162" s="2" t="s">
        <v>49</v>
      </c>
      <c r="E162" s="2" t="s">
        <v>363</v>
      </c>
      <c r="F162" s="2" t="s">
        <v>31</v>
      </c>
      <c r="G162" s="2">
        <v>30</v>
      </c>
      <c r="H162" s="2" t="str" cm="1">
        <f t="array" ref="H162">_xlfn.IFS(G162&lt;30,"&lt;30",LoanData!G162&lt;40,"30-40",LoanData!G162&lt;50,"40-50",LoanData!G162&gt;=50,"50+")</f>
        <v>30-40</v>
      </c>
      <c r="I162" s="3">
        <v>45371</v>
      </c>
      <c r="J162" s="4">
        <v>661000</v>
      </c>
      <c r="K162" s="2">
        <v>36</v>
      </c>
      <c r="L162" s="5">
        <v>11.2</v>
      </c>
      <c r="M162" s="4">
        <v>21703</v>
      </c>
      <c r="N162" s="2">
        <v>4</v>
      </c>
      <c r="O162" s="2">
        <v>4</v>
      </c>
      <c r="P162" s="4">
        <v>86812</v>
      </c>
      <c r="Q162" s="4">
        <v>597990</v>
      </c>
      <c r="R162" s="2">
        <v>0</v>
      </c>
      <c r="S162" s="2" t="s">
        <v>25</v>
      </c>
      <c r="T162" s="4">
        <v>23802</v>
      </c>
    </row>
    <row r="163" spans="1:20" x14ac:dyDescent="0.3">
      <c r="A163" s="6" t="s">
        <v>364</v>
      </c>
      <c r="B163" s="6" t="s">
        <v>65</v>
      </c>
      <c r="C163" s="6" t="s">
        <v>28</v>
      </c>
      <c r="D163" s="6" t="s">
        <v>22</v>
      </c>
      <c r="E163" s="6" t="s">
        <v>365</v>
      </c>
      <c r="F163" s="6" t="s">
        <v>31</v>
      </c>
      <c r="G163" s="6">
        <v>35</v>
      </c>
      <c r="H163" s="2" t="str" cm="1">
        <f t="array" ref="H163">_xlfn.IFS(G163&lt;30,"&lt;30",LoanData!G163&lt;40,"30-40",LoanData!G163&lt;50,"40-50",LoanData!G163&gt;=50,"50+")</f>
        <v>30-40</v>
      </c>
      <c r="I163" s="7">
        <v>45370</v>
      </c>
      <c r="J163" s="8">
        <v>1315000</v>
      </c>
      <c r="K163" s="6">
        <v>36</v>
      </c>
      <c r="L163" s="9">
        <v>13</v>
      </c>
      <c r="M163" s="8">
        <v>44308</v>
      </c>
      <c r="N163" s="6">
        <v>4</v>
      </c>
      <c r="O163" s="6">
        <v>0</v>
      </c>
      <c r="P163" s="8">
        <v>0</v>
      </c>
      <c r="Q163" s="8">
        <v>1315000</v>
      </c>
      <c r="R163" s="6">
        <v>146</v>
      </c>
      <c r="S163" s="6" t="s">
        <v>55</v>
      </c>
      <c r="T163" s="8">
        <v>0</v>
      </c>
    </row>
    <row r="164" spans="1:20" x14ac:dyDescent="0.3">
      <c r="A164" s="2" t="s">
        <v>366</v>
      </c>
      <c r="B164" s="2" t="s">
        <v>27</v>
      </c>
      <c r="C164" s="2" t="s">
        <v>28</v>
      </c>
      <c r="D164" s="2" t="s">
        <v>57</v>
      </c>
      <c r="E164" s="2" t="s">
        <v>367</v>
      </c>
      <c r="F164" s="2" t="s">
        <v>24</v>
      </c>
      <c r="G164" s="2">
        <v>34</v>
      </c>
      <c r="H164" s="2" t="str" cm="1">
        <f t="array" ref="H164">_xlfn.IFS(G164&lt;30,"&lt;30",LoanData!G164&lt;40,"30-40",LoanData!G164&lt;50,"40-50",LoanData!G164&gt;=50,"50+")</f>
        <v>30-40</v>
      </c>
      <c r="I164" s="3">
        <v>45373</v>
      </c>
      <c r="J164" s="4">
        <v>791000</v>
      </c>
      <c r="K164" s="2">
        <v>36</v>
      </c>
      <c r="L164" s="5">
        <v>16</v>
      </c>
      <c r="M164" s="4">
        <v>27809</v>
      </c>
      <c r="N164" s="2">
        <v>4</v>
      </c>
      <c r="O164" s="2">
        <v>2</v>
      </c>
      <c r="P164" s="4">
        <v>55618</v>
      </c>
      <c r="Q164" s="4">
        <v>756245</v>
      </c>
      <c r="R164" s="2">
        <v>51</v>
      </c>
      <c r="S164" s="2" t="s">
        <v>47</v>
      </c>
      <c r="T164" s="4">
        <v>20863</v>
      </c>
    </row>
    <row r="165" spans="1:20" x14ac:dyDescent="0.3">
      <c r="A165" s="6" t="s">
        <v>368</v>
      </c>
      <c r="B165" s="6" t="s">
        <v>33</v>
      </c>
      <c r="C165" s="6" t="s">
        <v>34</v>
      </c>
      <c r="D165" s="6" t="s">
        <v>22</v>
      </c>
      <c r="E165" s="6" t="s">
        <v>369</v>
      </c>
      <c r="F165" s="6" t="s">
        <v>31</v>
      </c>
      <c r="G165" s="6">
        <v>45</v>
      </c>
      <c r="H165" s="2" t="str" cm="1">
        <f t="array" ref="H165">_xlfn.IFS(G165&lt;30,"&lt;30",LoanData!G165&lt;40,"30-40",LoanData!G165&lt;50,"40-50",LoanData!G165&gt;=50,"50+")</f>
        <v>40-50</v>
      </c>
      <c r="I165" s="7">
        <v>45416</v>
      </c>
      <c r="J165" s="8">
        <v>623000</v>
      </c>
      <c r="K165" s="6">
        <v>48</v>
      </c>
      <c r="L165" s="9">
        <v>12.3</v>
      </c>
      <c r="M165" s="8">
        <v>16498</v>
      </c>
      <c r="N165" s="6">
        <v>2</v>
      </c>
      <c r="O165" s="6">
        <v>2</v>
      </c>
      <c r="P165" s="8">
        <v>32996</v>
      </c>
      <c r="Q165" s="8">
        <v>602672</v>
      </c>
      <c r="R165" s="6">
        <v>0</v>
      </c>
      <c r="S165" s="6" t="s">
        <v>25</v>
      </c>
      <c r="T165" s="8">
        <v>12668</v>
      </c>
    </row>
    <row r="166" spans="1:20" x14ac:dyDescent="0.3">
      <c r="A166" s="2" t="s">
        <v>370</v>
      </c>
      <c r="B166" s="2" t="s">
        <v>33</v>
      </c>
      <c r="C166" s="2" t="s">
        <v>34</v>
      </c>
      <c r="D166" s="2" t="s">
        <v>49</v>
      </c>
      <c r="E166" s="2" t="s">
        <v>371</v>
      </c>
      <c r="F166" s="2" t="s">
        <v>31</v>
      </c>
      <c r="G166" s="2">
        <v>43</v>
      </c>
      <c r="H166" s="2" t="str" cm="1">
        <f t="array" ref="H166">_xlfn.IFS(G166&lt;30,"&lt;30",LoanData!G166&lt;40,"30-40",LoanData!G166&lt;50,"40-50",LoanData!G166&gt;=50,"50+")</f>
        <v>40-50</v>
      </c>
      <c r="I166" s="3">
        <v>45325</v>
      </c>
      <c r="J166" s="4">
        <v>389000</v>
      </c>
      <c r="K166" s="2">
        <v>36</v>
      </c>
      <c r="L166" s="5">
        <v>11.5</v>
      </c>
      <c r="M166" s="4">
        <v>12828</v>
      </c>
      <c r="N166" s="2">
        <v>5</v>
      </c>
      <c r="O166" s="2">
        <v>5</v>
      </c>
      <c r="P166" s="4">
        <v>64140</v>
      </c>
      <c r="Q166" s="4">
        <v>342621</v>
      </c>
      <c r="R166" s="2">
        <v>0</v>
      </c>
      <c r="S166" s="2" t="s">
        <v>25</v>
      </c>
      <c r="T166" s="4">
        <v>17761</v>
      </c>
    </row>
    <row r="167" spans="1:20" x14ac:dyDescent="0.3">
      <c r="A167" s="6" t="s">
        <v>372</v>
      </c>
      <c r="B167" s="6" t="s">
        <v>40</v>
      </c>
      <c r="C167" s="6" t="s">
        <v>34</v>
      </c>
      <c r="D167" s="6" t="s">
        <v>57</v>
      </c>
      <c r="E167" s="6" t="s">
        <v>373</v>
      </c>
      <c r="F167" s="6" t="s">
        <v>42</v>
      </c>
      <c r="G167" s="6">
        <v>27</v>
      </c>
      <c r="H167" s="2" t="str" cm="1">
        <f t="array" ref="H167">_xlfn.IFS(G167&lt;30,"&lt;30",LoanData!G167&lt;40,"30-40",LoanData!G167&lt;50,"40-50",LoanData!G167&gt;=50,"50+")</f>
        <v>&lt;30</v>
      </c>
      <c r="I167" s="7">
        <v>45298</v>
      </c>
      <c r="J167" s="8">
        <v>616000</v>
      </c>
      <c r="K167" s="6">
        <v>24</v>
      </c>
      <c r="L167" s="9">
        <v>15</v>
      </c>
      <c r="M167" s="8">
        <v>29868</v>
      </c>
      <c r="N167" s="6">
        <v>6</v>
      </c>
      <c r="O167" s="6">
        <v>6</v>
      </c>
      <c r="P167" s="8">
        <v>179208</v>
      </c>
      <c r="Q167" s="8">
        <v>478767</v>
      </c>
      <c r="R167" s="6">
        <v>0</v>
      </c>
      <c r="S167" s="6" t="s">
        <v>25</v>
      </c>
      <c r="T167" s="8">
        <v>41975</v>
      </c>
    </row>
    <row r="168" spans="1:20" x14ac:dyDescent="0.3">
      <c r="A168" s="2" t="s">
        <v>374</v>
      </c>
      <c r="B168" s="2" t="s">
        <v>40</v>
      </c>
      <c r="C168" s="2" t="s">
        <v>34</v>
      </c>
      <c r="D168" s="2" t="s">
        <v>57</v>
      </c>
      <c r="E168" s="2" t="s">
        <v>375</v>
      </c>
      <c r="F168" s="2" t="s">
        <v>31</v>
      </c>
      <c r="G168" s="2">
        <v>44</v>
      </c>
      <c r="H168" s="2" t="str" cm="1">
        <f t="array" ref="H168">_xlfn.IFS(G168&lt;30,"&lt;30",LoanData!G168&lt;40,"30-40",LoanData!G168&lt;50,"40-50",LoanData!G168&gt;=50,"50+")</f>
        <v>40-50</v>
      </c>
      <c r="I168" s="3">
        <v>45384</v>
      </c>
      <c r="J168" s="4">
        <v>1348000</v>
      </c>
      <c r="K168" s="2">
        <v>60</v>
      </c>
      <c r="L168" s="5">
        <v>13.7</v>
      </c>
      <c r="M168" s="4">
        <v>31156</v>
      </c>
      <c r="N168" s="2">
        <v>3</v>
      </c>
      <c r="O168" s="2">
        <v>3</v>
      </c>
      <c r="P168" s="4">
        <v>93468</v>
      </c>
      <c r="Q168" s="4">
        <v>1300158</v>
      </c>
      <c r="R168" s="2">
        <v>0</v>
      </c>
      <c r="S168" s="2" t="s">
        <v>25</v>
      </c>
      <c r="T168" s="4">
        <v>45626</v>
      </c>
    </row>
    <row r="169" spans="1:20" x14ac:dyDescent="0.3">
      <c r="A169" s="6" t="s">
        <v>376</v>
      </c>
      <c r="B169" s="6" t="s">
        <v>60</v>
      </c>
      <c r="C169" s="6" t="s">
        <v>21</v>
      </c>
      <c r="D169" s="6" t="s">
        <v>29</v>
      </c>
      <c r="E169" s="6" t="s">
        <v>377</v>
      </c>
      <c r="F169" s="6" t="s">
        <v>42</v>
      </c>
      <c r="G169" s="6">
        <v>35</v>
      </c>
      <c r="H169" s="2" t="str" cm="1">
        <f t="array" ref="H169">_xlfn.IFS(G169&lt;30,"&lt;30",LoanData!G169&lt;40,"30-40",LoanData!G169&lt;50,"40-50",LoanData!G169&gt;=50,"50+")</f>
        <v>30-40</v>
      </c>
      <c r="I169" s="7">
        <v>45375</v>
      </c>
      <c r="J169" s="8">
        <v>205000</v>
      </c>
      <c r="K169" s="6">
        <v>12</v>
      </c>
      <c r="L169" s="9">
        <v>10.199999999999999</v>
      </c>
      <c r="M169" s="8">
        <v>18042</v>
      </c>
      <c r="N169" s="6">
        <v>4</v>
      </c>
      <c r="O169" s="6">
        <v>4</v>
      </c>
      <c r="P169" s="8">
        <v>72168</v>
      </c>
      <c r="Q169" s="8">
        <v>138967</v>
      </c>
      <c r="R169" s="6">
        <v>0</v>
      </c>
      <c r="S169" s="6" t="s">
        <v>25</v>
      </c>
      <c r="T169" s="8">
        <v>6135</v>
      </c>
    </row>
    <row r="170" spans="1:20" x14ac:dyDescent="0.3">
      <c r="A170" s="2" t="s">
        <v>378</v>
      </c>
      <c r="B170" s="2" t="s">
        <v>20</v>
      </c>
      <c r="C170" s="2" t="s">
        <v>21</v>
      </c>
      <c r="D170" s="2" t="s">
        <v>35</v>
      </c>
      <c r="E170" s="2" t="s">
        <v>379</v>
      </c>
      <c r="F170" s="2" t="s">
        <v>24</v>
      </c>
      <c r="G170" s="2">
        <v>34</v>
      </c>
      <c r="H170" s="2" t="str" cm="1">
        <f t="array" ref="H170">_xlfn.IFS(G170&lt;30,"&lt;30",LoanData!G170&lt;40,"30-40",LoanData!G170&lt;50,"40-50",LoanData!G170&gt;=50,"50+")</f>
        <v>30-40</v>
      </c>
      <c r="I170" s="3">
        <v>45407</v>
      </c>
      <c r="J170" s="4">
        <v>459000</v>
      </c>
      <c r="K170" s="2">
        <v>36</v>
      </c>
      <c r="L170" s="5">
        <v>14.4</v>
      </c>
      <c r="M170" s="4">
        <v>15777</v>
      </c>
      <c r="N170" s="2">
        <v>3</v>
      </c>
      <c r="O170" s="2">
        <v>3</v>
      </c>
      <c r="P170" s="4">
        <v>47331</v>
      </c>
      <c r="Q170" s="4">
        <v>427822</v>
      </c>
      <c r="R170" s="2">
        <v>0</v>
      </c>
      <c r="S170" s="2" t="s">
        <v>25</v>
      </c>
      <c r="T170" s="4">
        <v>16153</v>
      </c>
    </row>
    <row r="171" spans="1:20" x14ac:dyDescent="0.3">
      <c r="A171" s="6" t="s">
        <v>380</v>
      </c>
      <c r="B171" s="6" t="s">
        <v>27</v>
      </c>
      <c r="C171" s="6" t="s">
        <v>28</v>
      </c>
      <c r="D171" s="6" t="s">
        <v>49</v>
      </c>
      <c r="E171" s="6" t="s">
        <v>381</v>
      </c>
      <c r="F171" s="6" t="s">
        <v>42</v>
      </c>
      <c r="G171" s="6">
        <v>33</v>
      </c>
      <c r="H171" s="2" t="str" cm="1">
        <f t="array" ref="H171">_xlfn.IFS(G171&lt;30,"&lt;30",LoanData!G171&lt;40,"30-40",LoanData!G171&lt;50,"40-50",LoanData!G171&gt;=50,"50+")</f>
        <v>30-40</v>
      </c>
      <c r="I171" s="7">
        <v>45397</v>
      </c>
      <c r="J171" s="8">
        <v>475000</v>
      </c>
      <c r="K171" s="6">
        <v>48</v>
      </c>
      <c r="L171" s="9">
        <v>13.2</v>
      </c>
      <c r="M171" s="8">
        <v>12790</v>
      </c>
      <c r="N171" s="6">
        <v>3</v>
      </c>
      <c r="O171" s="6">
        <v>3</v>
      </c>
      <c r="P171" s="8">
        <v>38370</v>
      </c>
      <c r="Q171" s="8">
        <v>452054</v>
      </c>
      <c r="R171" s="6">
        <v>0</v>
      </c>
      <c r="S171" s="6" t="s">
        <v>25</v>
      </c>
      <c r="T171" s="8">
        <v>15424</v>
      </c>
    </row>
    <row r="172" spans="1:20" x14ac:dyDescent="0.3">
      <c r="A172" s="2" t="s">
        <v>382</v>
      </c>
      <c r="B172" s="2" t="s">
        <v>52</v>
      </c>
      <c r="C172" s="2" t="s">
        <v>53</v>
      </c>
      <c r="D172" s="2" t="s">
        <v>49</v>
      </c>
      <c r="E172" s="2" t="s">
        <v>383</v>
      </c>
      <c r="F172" s="2" t="s">
        <v>31</v>
      </c>
      <c r="G172" s="2">
        <v>41</v>
      </c>
      <c r="H172" s="2" t="str" cm="1">
        <f t="array" ref="H172">_xlfn.IFS(G172&lt;30,"&lt;30",LoanData!G172&lt;40,"30-40",LoanData!G172&lt;50,"40-50",LoanData!G172&gt;=50,"50+")</f>
        <v>40-50</v>
      </c>
      <c r="I172" s="3">
        <v>45377</v>
      </c>
      <c r="J172" s="4">
        <v>598000</v>
      </c>
      <c r="K172" s="2">
        <v>24</v>
      </c>
      <c r="L172" s="5">
        <v>11.8</v>
      </c>
      <c r="M172" s="4">
        <v>28094</v>
      </c>
      <c r="N172" s="2">
        <v>4</v>
      </c>
      <c r="O172" s="2">
        <v>0</v>
      </c>
      <c r="P172" s="4">
        <v>0</v>
      </c>
      <c r="Q172" s="4">
        <v>598000</v>
      </c>
      <c r="R172" s="2">
        <v>218</v>
      </c>
      <c r="S172" s="2" t="s">
        <v>55</v>
      </c>
      <c r="T172" s="4">
        <v>0</v>
      </c>
    </row>
    <row r="173" spans="1:20" x14ac:dyDescent="0.3">
      <c r="A173" s="6" t="s">
        <v>384</v>
      </c>
      <c r="B173" s="6" t="s">
        <v>27</v>
      </c>
      <c r="C173" s="6" t="s">
        <v>28</v>
      </c>
      <c r="D173" s="6" t="s">
        <v>35</v>
      </c>
      <c r="E173" s="6" t="s">
        <v>385</v>
      </c>
      <c r="F173" s="6" t="s">
        <v>24</v>
      </c>
      <c r="G173" s="6">
        <v>57</v>
      </c>
      <c r="H173" s="2" t="str" cm="1">
        <f t="array" ref="H173">_xlfn.IFS(G173&lt;30,"&lt;30",LoanData!G173&lt;40,"30-40",LoanData!G173&lt;50,"40-50",LoanData!G173&gt;=50,"50+")</f>
        <v>50+</v>
      </c>
      <c r="I173" s="7">
        <v>45305</v>
      </c>
      <c r="J173" s="8">
        <v>88000</v>
      </c>
      <c r="K173" s="6">
        <v>36</v>
      </c>
      <c r="L173" s="9">
        <v>16.899999999999999</v>
      </c>
      <c r="M173" s="8">
        <v>3133</v>
      </c>
      <c r="N173" s="6">
        <v>6</v>
      </c>
      <c r="O173" s="6">
        <v>0</v>
      </c>
      <c r="P173" s="8">
        <v>0</v>
      </c>
      <c r="Q173" s="8">
        <v>88000</v>
      </c>
      <c r="R173" s="6">
        <v>193</v>
      </c>
      <c r="S173" s="6" t="s">
        <v>55</v>
      </c>
      <c r="T173" s="8">
        <v>0</v>
      </c>
    </row>
    <row r="174" spans="1:20" x14ac:dyDescent="0.3">
      <c r="A174" s="2" t="s">
        <v>386</v>
      </c>
      <c r="B174" s="2" t="s">
        <v>52</v>
      </c>
      <c r="C174" s="2" t="s">
        <v>53</v>
      </c>
      <c r="D174" s="2" t="s">
        <v>29</v>
      </c>
      <c r="E174" s="2" t="s">
        <v>387</v>
      </c>
      <c r="F174" s="2" t="s">
        <v>31</v>
      </c>
      <c r="G174" s="2">
        <v>28</v>
      </c>
      <c r="H174" s="2" t="str" cm="1">
        <f t="array" ref="H174">_xlfn.IFS(G174&lt;30,"&lt;30",LoanData!G174&lt;40,"30-40",LoanData!G174&lt;50,"40-50",LoanData!G174&gt;=50,"50+")</f>
        <v>&lt;30</v>
      </c>
      <c r="I174" s="3">
        <v>45458</v>
      </c>
      <c r="J174" s="4">
        <v>208000</v>
      </c>
      <c r="K174" s="2">
        <v>6</v>
      </c>
      <c r="L174" s="5">
        <v>10.6</v>
      </c>
      <c r="M174" s="4">
        <v>35746</v>
      </c>
      <c r="N174" s="2">
        <v>1</v>
      </c>
      <c r="O174" s="2">
        <v>1</v>
      </c>
      <c r="P174" s="4">
        <v>35746</v>
      </c>
      <c r="Q174" s="4">
        <v>174091</v>
      </c>
      <c r="R174" s="2">
        <v>0</v>
      </c>
      <c r="S174" s="2" t="s">
        <v>25</v>
      </c>
      <c r="T174" s="4">
        <v>1837</v>
      </c>
    </row>
    <row r="175" spans="1:20" x14ac:dyDescent="0.3">
      <c r="A175" s="6" t="s">
        <v>388</v>
      </c>
      <c r="B175" s="6" t="s">
        <v>33</v>
      </c>
      <c r="C175" s="6" t="s">
        <v>34</v>
      </c>
      <c r="D175" s="6" t="s">
        <v>49</v>
      </c>
      <c r="E175" s="6" t="s">
        <v>389</v>
      </c>
      <c r="F175" s="6" t="s">
        <v>31</v>
      </c>
      <c r="G175" s="6">
        <v>40</v>
      </c>
      <c r="H175" s="2" t="str" cm="1">
        <f t="array" ref="H175">_xlfn.IFS(G175&lt;30,"&lt;30",LoanData!G175&lt;40,"30-40",LoanData!G175&lt;50,"40-50",LoanData!G175&gt;=50,"50+")</f>
        <v>40-50</v>
      </c>
      <c r="I175" s="7">
        <v>45333</v>
      </c>
      <c r="J175" s="8">
        <v>425000</v>
      </c>
      <c r="K175" s="6">
        <v>36</v>
      </c>
      <c r="L175" s="9">
        <v>11.2</v>
      </c>
      <c r="M175" s="8">
        <v>13954</v>
      </c>
      <c r="N175" s="6">
        <v>5</v>
      </c>
      <c r="O175" s="6">
        <v>5</v>
      </c>
      <c r="P175" s="8">
        <v>69770</v>
      </c>
      <c r="Q175" s="8">
        <v>374121</v>
      </c>
      <c r="R175" s="6">
        <v>0</v>
      </c>
      <c r="S175" s="6" t="s">
        <v>25</v>
      </c>
      <c r="T175" s="8">
        <v>18891</v>
      </c>
    </row>
    <row r="176" spans="1:20" x14ac:dyDescent="0.3">
      <c r="A176" s="2" t="s">
        <v>390</v>
      </c>
      <c r="B176" s="2" t="s">
        <v>80</v>
      </c>
      <c r="C176" s="2" t="s">
        <v>53</v>
      </c>
      <c r="D176" s="2" t="s">
        <v>29</v>
      </c>
      <c r="E176" s="2" t="s">
        <v>391</v>
      </c>
      <c r="F176" s="2" t="s">
        <v>42</v>
      </c>
      <c r="G176" s="2">
        <v>32</v>
      </c>
      <c r="H176" s="2" t="str" cm="1">
        <f t="array" ref="H176">_xlfn.IFS(G176&lt;30,"&lt;30",LoanData!G176&lt;40,"30-40",LoanData!G176&lt;50,"40-50",LoanData!G176&gt;=50,"50+")</f>
        <v>30-40</v>
      </c>
      <c r="I176" s="3">
        <v>45453</v>
      </c>
      <c r="J176" s="4">
        <v>115000</v>
      </c>
      <c r="K176" s="2">
        <v>12</v>
      </c>
      <c r="L176" s="5">
        <v>11.4</v>
      </c>
      <c r="M176" s="4">
        <v>10185</v>
      </c>
      <c r="N176" s="2">
        <v>1</v>
      </c>
      <c r="O176" s="2">
        <v>1</v>
      </c>
      <c r="P176" s="4">
        <v>10185</v>
      </c>
      <c r="Q176" s="4">
        <v>105907</v>
      </c>
      <c r="R176" s="2">
        <v>0</v>
      </c>
      <c r="S176" s="2" t="s">
        <v>25</v>
      </c>
      <c r="T176" s="4">
        <v>1092</v>
      </c>
    </row>
    <row r="177" spans="1:20" x14ac:dyDescent="0.3">
      <c r="A177" s="6" t="s">
        <v>392</v>
      </c>
      <c r="B177" s="6" t="s">
        <v>40</v>
      </c>
      <c r="C177" s="6" t="s">
        <v>34</v>
      </c>
      <c r="D177" s="6" t="s">
        <v>57</v>
      </c>
      <c r="E177" s="6" t="s">
        <v>393</v>
      </c>
      <c r="F177" s="6" t="s">
        <v>24</v>
      </c>
      <c r="G177" s="6">
        <v>29</v>
      </c>
      <c r="H177" s="2" t="str" cm="1">
        <f t="array" ref="H177">_xlfn.IFS(G177&lt;30,"&lt;30",LoanData!G177&lt;40,"30-40",LoanData!G177&lt;50,"40-50",LoanData!G177&gt;=50,"50+")</f>
        <v>&lt;30</v>
      </c>
      <c r="I177" s="7">
        <v>45393</v>
      </c>
      <c r="J177" s="8">
        <v>1705000</v>
      </c>
      <c r="K177" s="6">
        <v>36</v>
      </c>
      <c r="L177" s="9">
        <v>14.3</v>
      </c>
      <c r="M177" s="8">
        <v>58522</v>
      </c>
      <c r="N177" s="6">
        <v>3</v>
      </c>
      <c r="O177" s="6">
        <v>2</v>
      </c>
      <c r="P177" s="8">
        <v>117044</v>
      </c>
      <c r="Q177" s="8">
        <v>1628137</v>
      </c>
      <c r="R177" s="6">
        <v>8</v>
      </c>
      <c r="S177" s="6" t="s">
        <v>47</v>
      </c>
      <c r="T177" s="8">
        <v>40181</v>
      </c>
    </row>
    <row r="178" spans="1:20" x14ac:dyDescent="0.3">
      <c r="A178" s="2" t="s">
        <v>394</v>
      </c>
      <c r="B178" s="2" t="s">
        <v>80</v>
      </c>
      <c r="C178" s="2" t="s">
        <v>53</v>
      </c>
      <c r="D178" s="2" t="s">
        <v>22</v>
      </c>
      <c r="E178" s="2" t="s">
        <v>395</v>
      </c>
      <c r="F178" s="2" t="s">
        <v>24</v>
      </c>
      <c r="G178" s="2">
        <v>57</v>
      </c>
      <c r="H178" s="2" t="str" cm="1">
        <f t="array" ref="H178">_xlfn.IFS(G178&lt;30,"&lt;30",LoanData!G178&lt;40,"30-40",LoanData!G178&lt;50,"40-50",LoanData!G178&gt;=50,"50+")</f>
        <v>50+</v>
      </c>
      <c r="I178" s="3">
        <v>45453</v>
      </c>
      <c r="J178" s="4">
        <v>780000</v>
      </c>
      <c r="K178" s="2">
        <v>24</v>
      </c>
      <c r="L178" s="5">
        <v>11.5</v>
      </c>
      <c r="M178" s="4">
        <v>36535</v>
      </c>
      <c r="N178" s="2">
        <v>1</v>
      </c>
      <c r="O178" s="2">
        <v>1</v>
      </c>
      <c r="P178" s="4">
        <v>36535</v>
      </c>
      <c r="Q178" s="4">
        <v>750940</v>
      </c>
      <c r="R178" s="2">
        <v>0</v>
      </c>
      <c r="S178" s="2" t="s">
        <v>25</v>
      </c>
      <c r="T178" s="4">
        <v>7475</v>
      </c>
    </row>
    <row r="179" spans="1:20" x14ac:dyDescent="0.3">
      <c r="A179" s="6" t="s">
        <v>396</v>
      </c>
      <c r="B179" s="6" t="s">
        <v>27</v>
      </c>
      <c r="C179" s="6" t="s">
        <v>28</v>
      </c>
      <c r="D179" s="6" t="s">
        <v>49</v>
      </c>
      <c r="E179" s="6" t="s">
        <v>397</v>
      </c>
      <c r="F179" s="6" t="s">
        <v>31</v>
      </c>
      <c r="G179" s="6">
        <v>24</v>
      </c>
      <c r="H179" s="2" t="str" cm="1">
        <f t="array" ref="H179">_xlfn.IFS(G179&lt;30,"&lt;30",LoanData!G179&lt;40,"30-40",LoanData!G179&lt;50,"40-50",LoanData!G179&gt;=50,"50+")</f>
        <v>&lt;30</v>
      </c>
      <c r="I179" s="7">
        <v>45306</v>
      </c>
      <c r="J179" s="8">
        <v>454000</v>
      </c>
      <c r="K179" s="6">
        <v>48</v>
      </c>
      <c r="L179" s="9">
        <v>11.6</v>
      </c>
      <c r="M179" s="8">
        <v>11867</v>
      </c>
      <c r="N179" s="6">
        <v>6</v>
      </c>
      <c r="O179" s="6">
        <v>6</v>
      </c>
      <c r="P179" s="8">
        <v>71202</v>
      </c>
      <c r="Q179" s="8">
        <v>408034</v>
      </c>
      <c r="R179" s="6">
        <v>0</v>
      </c>
      <c r="S179" s="6" t="s">
        <v>25</v>
      </c>
      <c r="T179" s="8">
        <v>25236</v>
      </c>
    </row>
    <row r="180" spans="1:20" x14ac:dyDescent="0.3">
      <c r="A180" s="2" t="s">
        <v>398</v>
      </c>
      <c r="B180" s="2" t="s">
        <v>52</v>
      </c>
      <c r="C180" s="2" t="s">
        <v>53</v>
      </c>
      <c r="D180" s="2" t="s">
        <v>35</v>
      </c>
      <c r="E180" s="2" t="s">
        <v>399</v>
      </c>
      <c r="F180" s="2" t="s">
        <v>31</v>
      </c>
      <c r="G180" s="2">
        <v>56</v>
      </c>
      <c r="H180" s="2" t="str" cm="1">
        <f t="array" ref="H180">_xlfn.IFS(G180&lt;30,"&lt;30",LoanData!G180&lt;40,"30-40",LoanData!G180&lt;50,"40-50",LoanData!G180&gt;=50,"50+")</f>
        <v>50+</v>
      </c>
      <c r="I180" s="3">
        <v>45359</v>
      </c>
      <c r="J180" s="4">
        <v>495000</v>
      </c>
      <c r="K180" s="2">
        <v>36</v>
      </c>
      <c r="L180" s="5">
        <v>17</v>
      </c>
      <c r="M180" s="4">
        <v>17648</v>
      </c>
      <c r="N180" s="2">
        <v>4</v>
      </c>
      <c r="O180" s="2">
        <v>4</v>
      </c>
      <c r="P180" s="4">
        <v>70592</v>
      </c>
      <c r="Q180" s="4">
        <v>451545</v>
      </c>
      <c r="R180" s="2">
        <v>0</v>
      </c>
      <c r="S180" s="2" t="s">
        <v>25</v>
      </c>
      <c r="T180" s="4">
        <v>27137</v>
      </c>
    </row>
    <row r="181" spans="1:20" x14ac:dyDescent="0.3">
      <c r="A181" s="6" t="s">
        <v>400</v>
      </c>
      <c r="B181" s="6" t="s">
        <v>60</v>
      </c>
      <c r="C181" s="6" t="s">
        <v>21</v>
      </c>
      <c r="D181" s="6" t="s">
        <v>35</v>
      </c>
      <c r="E181" s="6" t="s">
        <v>401</v>
      </c>
      <c r="F181" s="6" t="s">
        <v>42</v>
      </c>
      <c r="G181" s="6">
        <v>48</v>
      </c>
      <c r="H181" s="2" t="str" cm="1">
        <f t="array" ref="H181">_xlfn.IFS(G181&lt;30,"&lt;30",LoanData!G181&lt;40,"30-40",LoanData!G181&lt;50,"40-50",LoanData!G181&gt;=50,"50+")</f>
        <v>40-50</v>
      </c>
      <c r="I181" s="7">
        <v>45410</v>
      </c>
      <c r="J181" s="8">
        <v>278000</v>
      </c>
      <c r="K181" s="6">
        <v>24</v>
      </c>
      <c r="L181" s="9">
        <v>14.7</v>
      </c>
      <c r="M181" s="8">
        <v>13440</v>
      </c>
      <c r="N181" s="6">
        <v>3</v>
      </c>
      <c r="O181" s="6">
        <v>0</v>
      </c>
      <c r="P181" s="8">
        <v>0</v>
      </c>
      <c r="Q181" s="8">
        <v>278000</v>
      </c>
      <c r="R181" s="6">
        <v>135</v>
      </c>
      <c r="S181" s="6" t="s">
        <v>55</v>
      </c>
      <c r="T181" s="8">
        <v>0</v>
      </c>
    </row>
    <row r="182" spans="1:20" x14ac:dyDescent="0.3">
      <c r="A182" s="2" t="s">
        <v>402</v>
      </c>
      <c r="B182" s="2" t="s">
        <v>65</v>
      </c>
      <c r="C182" s="2" t="s">
        <v>28</v>
      </c>
      <c r="D182" s="2" t="s">
        <v>57</v>
      </c>
      <c r="E182" s="2" t="s">
        <v>403</v>
      </c>
      <c r="F182" s="2" t="s">
        <v>31</v>
      </c>
      <c r="G182" s="2">
        <v>46</v>
      </c>
      <c r="H182" s="2" t="str" cm="1">
        <f t="array" ref="H182">_xlfn.IFS(G182&lt;30,"&lt;30",LoanData!G182&lt;40,"30-40",LoanData!G182&lt;50,"40-50",LoanData!G182&gt;=50,"50+")</f>
        <v>40-50</v>
      </c>
      <c r="I182" s="3">
        <v>45416</v>
      </c>
      <c r="J182" s="4">
        <v>1177000</v>
      </c>
      <c r="K182" s="2">
        <v>60</v>
      </c>
      <c r="L182" s="5">
        <v>15</v>
      </c>
      <c r="M182" s="4">
        <v>28001</v>
      </c>
      <c r="N182" s="2">
        <v>2</v>
      </c>
      <c r="O182" s="2">
        <v>2</v>
      </c>
      <c r="P182" s="4">
        <v>56002</v>
      </c>
      <c r="Q182" s="4">
        <v>1150257</v>
      </c>
      <c r="R182" s="2">
        <v>0</v>
      </c>
      <c r="S182" s="2" t="s">
        <v>25</v>
      </c>
      <c r="T182" s="4">
        <v>29259</v>
      </c>
    </row>
    <row r="183" spans="1:20" x14ac:dyDescent="0.3">
      <c r="A183" s="6" t="s">
        <v>404</v>
      </c>
      <c r="B183" s="6" t="s">
        <v>60</v>
      </c>
      <c r="C183" s="6" t="s">
        <v>21</v>
      </c>
      <c r="D183" s="6" t="s">
        <v>22</v>
      </c>
      <c r="E183" s="6" t="s">
        <v>405</v>
      </c>
      <c r="F183" s="6" t="s">
        <v>24</v>
      </c>
      <c r="G183" s="6">
        <v>26</v>
      </c>
      <c r="H183" s="2" t="str" cm="1">
        <f t="array" ref="H183">_xlfn.IFS(G183&lt;30,"&lt;30",LoanData!G183&lt;40,"30-40",LoanData!G183&lt;50,"40-50",LoanData!G183&gt;=50,"50+")</f>
        <v>&lt;30</v>
      </c>
      <c r="I183" s="7">
        <v>45444</v>
      </c>
      <c r="J183" s="8">
        <v>476000</v>
      </c>
      <c r="K183" s="6">
        <v>48</v>
      </c>
      <c r="L183" s="9">
        <v>11.2</v>
      </c>
      <c r="M183" s="8">
        <v>12349</v>
      </c>
      <c r="N183" s="6">
        <v>1</v>
      </c>
      <c r="O183" s="6">
        <v>1</v>
      </c>
      <c r="P183" s="8">
        <v>12349</v>
      </c>
      <c r="Q183" s="8">
        <v>468094</v>
      </c>
      <c r="R183" s="6">
        <v>0</v>
      </c>
      <c r="S183" s="6" t="s">
        <v>25</v>
      </c>
      <c r="T183" s="8">
        <v>4443</v>
      </c>
    </row>
    <row r="184" spans="1:20" x14ac:dyDescent="0.3">
      <c r="A184" s="2" t="s">
        <v>406</v>
      </c>
      <c r="B184" s="2" t="s">
        <v>20</v>
      </c>
      <c r="C184" s="2" t="s">
        <v>21</v>
      </c>
      <c r="D184" s="2" t="s">
        <v>49</v>
      </c>
      <c r="E184" s="2" t="s">
        <v>407</v>
      </c>
      <c r="F184" s="2" t="s">
        <v>24</v>
      </c>
      <c r="G184" s="2">
        <v>46</v>
      </c>
      <c r="H184" s="2" t="str" cm="1">
        <f t="array" ref="H184">_xlfn.IFS(G184&lt;30,"&lt;30",LoanData!G184&lt;40,"30-40",LoanData!G184&lt;50,"40-50",LoanData!G184&gt;=50,"50+")</f>
        <v>40-50</v>
      </c>
      <c r="I184" s="3">
        <v>45333</v>
      </c>
      <c r="J184" s="4">
        <v>360000</v>
      </c>
      <c r="K184" s="2">
        <v>60</v>
      </c>
      <c r="L184" s="5">
        <v>11.5</v>
      </c>
      <c r="M184" s="4">
        <v>7917</v>
      </c>
      <c r="N184" s="2">
        <v>5</v>
      </c>
      <c r="O184" s="2">
        <v>4</v>
      </c>
      <c r="P184" s="4">
        <v>31668</v>
      </c>
      <c r="Q184" s="4">
        <v>341872</v>
      </c>
      <c r="R184" s="2">
        <v>18</v>
      </c>
      <c r="S184" s="2" t="s">
        <v>47</v>
      </c>
      <c r="T184" s="4">
        <v>13540</v>
      </c>
    </row>
    <row r="185" spans="1:20" x14ac:dyDescent="0.3">
      <c r="A185" s="6" t="s">
        <v>408</v>
      </c>
      <c r="B185" s="6" t="s">
        <v>40</v>
      </c>
      <c r="C185" s="6" t="s">
        <v>34</v>
      </c>
      <c r="D185" s="6" t="s">
        <v>22</v>
      </c>
      <c r="E185" s="6" t="s">
        <v>409</v>
      </c>
      <c r="F185" s="6" t="s">
        <v>42</v>
      </c>
      <c r="G185" s="6">
        <v>30</v>
      </c>
      <c r="H185" s="2" t="str" cm="1">
        <f t="array" ref="H185">_xlfn.IFS(G185&lt;30,"&lt;30",LoanData!G185&lt;40,"30-40",LoanData!G185&lt;50,"40-50",LoanData!G185&gt;=50,"50+")</f>
        <v>30-40</v>
      </c>
      <c r="I185" s="7">
        <v>45404</v>
      </c>
      <c r="J185" s="8">
        <v>1480000</v>
      </c>
      <c r="K185" s="6">
        <v>48</v>
      </c>
      <c r="L185" s="9">
        <v>10.3</v>
      </c>
      <c r="M185" s="8">
        <v>37750</v>
      </c>
      <c r="N185" s="6">
        <v>3</v>
      </c>
      <c r="O185" s="6">
        <v>3</v>
      </c>
      <c r="P185" s="8">
        <v>113250</v>
      </c>
      <c r="Q185" s="8">
        <v>1404213</v>
      </c>
      <c r="R185" s="6">
        <v>0</v>
      </c>
      <c r="S185" s="6" t="s">
        <v>25</v>
      </c>
      <c r="T185" s="8">
        <v>37463</v>
      </c>
    </row>
    <row r="186" spans="1:20" x14ac:dyDescent="0.3">
      <c r="A186" s="2" t="s">
        <v>410</v>
      </c>
      <c r="B186" s="2" t="s">
        <v>40</v>
      </c>
      <c r="C186" s="2" t="s">
        <v>34</v>
      </c>
      <c r="D186" s="2" t="s">
        <v>35</v>
      </c>
      <c r="E186" s="2" t="s">
        <v>411</v>
      </c>
      <c r="F186" s="2" t="s">
        <v>42</v>
      </c>
      <c r="G186" s="2">
        <v>42</v>
      </c>
      <c r="H186" s="2" t="str" cm="1">
        <f t="array" ref="H186">_xlfn.IFS(G186&lt;30,"&lt;30",LoanData!G186&lt;40,"30-40",LoanData!G186&lt;50,"40-50",LoanData!G186&gt;=50,"50+")</f>
        <v>40-50</v>
      </c>
      <c r="I186" s="3">
        <v>45303</v>
      </c>
      <c r="J186" s="4">
        <v>174000</v>
      </c>
      <c r="K186" s="2">
        <v>12</v>
      </c>
      <c r="L186" s="5">
        <v>16.399999999999999</v>
      </c>
      <c r="M186" s="4">
        <v>15820</v>
      </c>
      <c r="N186" s="2">
        <v>6</v>
      </c>
      <c r="O186" s="2">
        <v>3</v>
      </c>
      <c r="P186" s="4">
        <v>47460</v>
      </c>
      <c r="Q186" s="4">
        <v>133120</v>
      </c>
      <c r="R186" s="2">
        <v>76</v>
      </c>
      <c r="S186" s="2" t="s">
        <v>47</v>
      </c>
      <c r="T186" s="4">
        <v>6580</v>
      </c>
    </row>
    <row r="187" spans="1:20" x14ac:dyDescent="0.3">
      <c r="A187" s="6" t="s">
        <v>412</v>
      </c>
      <c r="B187" s="6" t="s">
        <v>80</v>
      </c>
      <c r="C187" s="6" t="s">
        <v>53</v>
      </c>
      <c r="D187" s="6" t="s">
        <v>35</v>
      </c>
      <c r="E187" s="6" t="s">
        <v>413</v>
      </c>
      <c r="F187" s="6" t="s">
        <v>24</v>
      </c>
      <c r="G187" s="6">
        <v>27</v>
      </c>
      <c r="H187" s="2" t="str" cm="1">
        <f t="array" ref="H187">_xlfn.IFS(G187&lt;30,"&lt;30",LoanData!G187&lt;40,"30-40",LoanData!G187&lt;50,"40-50",LoanData!G187&gt;=50,"50+")</f>
        <v>&lt;30</v>
      </c>
      <c r="I187" s="7">
        <v>45307</v>
      </c>
      <c r="J187" s="8">
        <v>450000</v>
      </c>
      <c r="K187" s="6">
        <v>24</v>
      </c>
      <c r="L187" s="9">
        <v>14.4</v>
      </c>
      <c r="M187" s="8">
        <v>21691</v>
      </c>
      <c r="N187" s="6">
        <v>6</v>
      </c>
      <c r="O187" s="6">
        <v>5</v>
      </c>
      <c r="P187" s="8">
        <v>108455</v>
      </c>
      <c r="Q187" s="8">
        <v>366567</v>
      </c>
      <c r="R187" s="6">
        <v>28</v>
      </c>
      <c r="S187" s="6" t="s">
        <v>47</v>
      </c>
      <c r="T187" s="8">
        <v>25022</v>
      </c>
    </row>
    <row r="188" spans="1:20" x14ac:dyDescent="0.3">
      <c r="A188" s="2" t="s">
        <v>414</v>
      </c>
      <c r="B188" s="2" t="s">
        <v>27</v>
      </c>
      <c r="C188" s="2" t="s">
        <v>28</v>
      </c>
      <c r="D188" s="2" t="s">
        <v>49</v>
      </c>
      <c r="E188" s="2" t="s">
        <v>415</v>
      </c>
      <c r="F188" s="2" t="s">
        <v>24</v>
      </c>
      <c r="G188" s="2">
        <v>41</v>
      </c>
      <c r="H188" s="2" t="str" cm="1">
        <f t="array" ref="H188">_xlfn.IFS(G188&lt;30,"&lt;30",LoanData!G188&lt;40,"30-40",LoanData!G188&lt;50,"40-50",LoanData!G188&gt;=50,"50+")</f>
        <v>40-50</v>
      </c>
      <c r="I188" s="3">
        <v>45378</v>
      </c>
      <c r="J188" s="4">
        <v>671000</v>
      </c>
      <c r="K188" s="2">
        <v>36</v>
      </c>
      <c r="L188" s="5">
        <v>13.4</v>
      </c>
      <c r="M188" s="4">
        <v>22738</v>
      </c>
      <c r="N188" s="2">
        <v>4</v>
      </c>
      <c r="O188" s="2">
        <v>0</v>
      </c>
      <c r="P188" s="4">
        <v>0</v>
      </c>
      <c r="Q188" s="4">
        <v>671000</v>
      </c>
      <c r="R188" s="2">
        <v>213</v>
      </c>
      <c r="S188" s="2" t="s">
        <v>55</v>
      </c>
      <c r="T188" s="4">
        <v>0</v>
      </c>
    </row>
    <row r="189" spans="1:20" x14ac:dyDescent="0.3">
      <c r="A189" s="6" t="s">
        <v>416</v>
      </c>
      <c r="B189" s="6" t="s">
        <v>52</v>
      </c>
      <c r="C189" s="6" t="s">
        <v>53</v>
      </c>
      <c r="D189" s="6" t="s">
        <v>57</v>
      </c>
      <c r="E189" s="6" t="s">
        <v>417</v>
      </c>
      <c r="F189" s="6" t="s">
        <v>31</v>
      </c>
      <c r="G189" s="6">
        <v>56</v>
      </c>
      <c r="H189" s="2" t="str" cm="1">
        <f t="array" ref="H189">_xlfn.IFS(G189&lt;30,"&lt;30",LoanData!G189&lt;40,"30-40",LoanData!G189&lt;50,"40-50",LoanData!G189&gt;=50,"50+")</f>
        <v>50+</v>
      </c>
      <c r="I189" s="7">
        <v>45363</v>
      </c>
      <c r="J189" s="8">
        <v>697000</v>
      </c>
      <c r="K189" s="6">
        <v>48</v>
      </c>
      <c r="L189" s="9">
        <v>13.5</v>
      </c>
      <c r="M189" s="8">
        <v>18872</v>
      </c>
      <c r="N189" s="6">
        <v>4</v>
      </c>
      <c r="O189" s="6">
        <v>4</v>
      </c>
      <c r="P189" s="8">
        <v>75488</v>
      </c>
      <c r="Q189" s="8">
        <v>652126</v>
      </c>
      <c r="R189" s="6">
        <v>0</v>
      </c>
      <c r="S189" s="6" t="s">
        <v>25</v>
      </c>
      <c r="T189" s="8">
        <v>30614</v>
      </c>
    </row>
    <row r="190" spans="1:20" x14ac:dyDescent="0.3">
      <c r="A190" s="2" t="s">
        <v>418</v>
      </c>
      <c r="B190" s="2" t="s">
        <v>60</v>
      </c>
      <c r="C190" s="2" t="s">
        <v>21</v>
      </c>
      <c r="D190" s="2" t="s">
        <v>29</v>
      </c>
      <c r="E190" s="2" t="s">
        <v>419</v>
      </c>
      <c r="F190" s="2" t="s">
        <v>31</v>
      </c>
      <c r="G190" s="2">
        <v>51</v>
      </c>
      <c r="H190" s="2" t="str" cm="1">
        <f t="array" ref="H190">_xlfn.IFS(G190&lt;30,"&lt;30",LoanData!G190&lt;40,"30-40",LoanData!G190&lt;50,"40-50",LoanData!G190&gt;=50,"50+")</f>
        <v>50+</v>
      </c>
      <c r="I190" s="3">
        <v>45449</v>
      </c>
      <c r="J190" s="4">
        <v>262000</v>
      </c>
      <c r="K190" s="2">
        <v>12</v>
      </c>
      <c r="L190" s="5">
        <v>11.8</v>
      </c>
      <c r="M190" s="4">
        <v>23254</v>
      </c>
      <c r="N190" s="2">
        <v>1</v>
      </c>
      <c r="O190" s="2">
        <v>1</v>
      </c>
      <c r="P190" s="4">
        <v>23254</v>
      </c>
      <c r="Q190" s="4">
        <v>241322</v>
      </c>
      <c r="R190" s="2">
        <v>0</v>
      </c>
      <c r="S190" s="2" t="s">
        <v>25</v>
      </c>
      <c r="T190" s="4">
        <v>2576</v>
      </c>
    </row>
    <row r="191" spans="1:20" x14ac:dyDescent="0.3">
      <c r="A191" s="6" t="s">
        <v>420</v>
      </c>
      <c r="B191" s="6" t="s">
        <v>80</v>
      </c>
      <c r="C191" s="6" t="s">
        <v>53</v>
      </c>
      <c r="D191" s="6" t="s">
        <v>22</v>
      </c>
      <c r="E191" s="6" t="s">
        <v>421</v>
      </c>
      <c r="F191" s="6" t="s">
        <v>31</v>
      </c>
      <c r="G191" s="6">
        <v>47</v>
      </c>
      <c r="H191" s="2" t="str" cm="1">
        <f t="array" ref="H191">_xlfn.IFS(G191&lt;30,"&lt;30",LoanData!G191&lt;40,"30-40",LoanData!G191&lt;50,"40-50",LoanData!G191&gt;=50,"50+")</f>
        <v>40-50</v>
      </c>
      <c r="I191" s="7">
        <v>45401</v>
      </c>
      <c r="J191" s="8">
        <v>1037000</v>
      </c>
      <c r="K191" s="6">
        <v>48</v>
      </c>
      <c r="L191" s="9">
        <v>11.7</v>
      </c>
      <c r="M191" s="8">
        <v>27156</v>
      </c>
      <c r="N191" s="6">
        <v>3</v>
      </c>
      <c r="O191" s="6">
        <v>3</v>
      </c>
      <c r="P191" s="8">
        <v>81468</v>
      </c>
      <c r="Q191" s="8">
        <v>985365</v>
      </c>
      <c r="R191" s="6">
        <v>0</v>
      </c>
      <c r="S191" s="6" t="s">
        <v>25</v>
      </c>
      <c r="T191" s="8">
        <v>29833</v>
      </c>
    </row>
    <row r="192" spans="1:20" x14ac:dyDescent="0.3">
      <c r="A192" s="2" t="s">
        <v>422</v>
      </c>
      <c r="B192" s="2" t="s">
        <v>33</v>
      </c>
      <c r="C192" s="2" t="s">
        <v>34</v>
      </c>
      <c r="D192" s="2" t="s">
        <v>29</v>
      </c>
      <c r="E192" s="2" t="s">
        <v>423</v>
      </c>
      <c r="F192" s="2" t="s">
        <v>42</v>
      </c>
      <c r="G192" s="2">
        <v>29</v>
      </c>
      <c r="H192" s="2" t="str" cm="1">
        <f t="array" ref="H192">_xlfn.IFS(G192&lt;30,"&lt;30",LoanData!G192&lt;40,"30-40",LoanData!G192&lt;50,"40-50",LoanData!G192&gt;=50,"50+")</f>
        <v>&lt;30</v>
      </c>
      <c r="I192" s="3">
        <v>45434</v>
      </c>
      <c r="J192" s="4">
        <v>59000</v>
      </c>
      <c r="K192" s="2">
        <v>6</v>
      </c>
      <c r="L192" s="5">
        <v>11.9</v>
      </c>
      <c r="M192" s="4">
        <v>10177</v>
      </c>
      <c r="N192" s="2">
        <v>2</v>
      </c>
      <c r="O192" s="2">
        <v>2</v>
      </c>
      <c r="P192" s="4">
        <v>20354</v>
      </c>
      <c r="Q192" s="4">
        <v>39720</v>
      </c>
      <c r="R192" s="2">
        <v>0</v>
      </c>
      <c r="S192" s="2" t="s">
        <v>25</v>
      </c>
      <c r="T192" s="4">
        <v>1074</v>
      </c>
    </row>
    <row r="193" spans="1:20" x14ac:dyDescent="0.3">
      <c r="A193" s="6" t="s">
        <v>424</v>
      </c>
      <c r="B193" s="6" t="s">
        <v>65</v>
      </c>
      <c r="C193" s="6" t="s">
        <v>28</v>
      </c>
      <c r="D193" s="6" t="s">
        <v>22</v>
      </c>
      <c r="E193" s="6" t="s">
        <v>425</v>
      </c>
      <c r="F193" s="6" t="s">
        <v>42</v>
      </c>
      <c r="G193" s="6">
        <v>38</v>
      </c>
      <c r="H193" s="2" t="str" cm="1">
        <f t="array" ref="H193">_xlfn.IFS(G193&lt;30,"&lt;30",LoanData!G193&lt;40,"30-40",LoanData!G193&lt;50,"40-50",LoanData!G193&gt;=50,"50+")</f>
        <v>30-40</v>
      </c>
      <c r="I193" s="7">
        <v>45357</v>
      </c>
      <c r="J193" s="8">
        <v>1006000</v>
      </c>
      <c r="K193" s="6">
        <v>48</v>
      </c>
      <c r="L193" s="9">
        <v>10.5</v>
      </c>
      <c r="M193" s="8">
        <v>25757</v>
      </c>
      <c r="N193" s="6">
        <v>4</v>
      </c>
      <c r="O193" s="6">
        <v>0</v>
      </c>
      <c r="P193" s="8">
        <v>0</v>
      </c>
      <c r="Q193" s="8">
        <v>1006000</v>
      </c>
      <c r="R193" s="6">
        <v>188</v>
      </c>
      <c r="S193" s="6" t="s">
        <v>55</v>
      </c>
      <c r="T193" s="8">
        <v>0</v>
      </c>
    </row>
    <row r="194" spans="1:20" x14ac:dyDescent="0.3">
      <c r="A194" s="2" t="s">
        <v>426</v>
      </c>
      <c r="B194" s="2" t="s">
        <v>20</v>
      </c>
      <c r="C194" s="2" t="s">
        <v>21</v>
      </c>
      <c r="D194" s="2" t="s">
        <v>29</v>
      </c>
      <c r="E194" s="2" t="s">
        <v>427</v>
      </c>
      <c r="F194" s="2" t="s">
        <v>42</v>
      </c>
      <c r="G194" s="2">
        <v>58</v>
      </c>
      <c r="H194" s="2" t="str" cm="1">
        <f t="array" ref="H194">_xlfn.IFS(G194&lt;30,"&lt;30",LoanData!G194&lt;40,"30-40",LoanData!G194&lt;50,"40-50",LoanData!G194&gt;=50,"50+")</f>
        <v>50+</v>
      </c>
      <c r="I194" s="3">
        <v>45402</v>
      </c>
      <c r="J194" s="4">
        <v>268000</v>
      </c>
      <c r="K194" s="2">
        <v>12</v>
      </c>
      <c r="L194" s="5">
        <v>12</v>
      </c>
      <c r="M194" s="4">
        <v>23811</v>
      </c>
      <c r="N194" s="2">
        <v>3</v>
      </c>
      <c r="O194" s="2">
        <v>3</v>
      </c>
      <c r="P194" s="4">
        <v>71433</v>
      </c>
      <c r="Q194" s="4">
        <v>203970</v>
      </c>
      <c r="R194" s="2">
        <v>0</v>
      </c>
      <c r="S194" s="2" t="s">
        <v>25</v>
      </c>
      <c r="T194" s="4">
        <v>7403</v>
      </c>
    </row>
    <row r="195" spans="1:20" x14ac:dyDescent="0.3">
      <c r="A195" s="6" t="s">
        <v>428</v>
      </c>
      <c r="B195" s="6" t="s">
        <v>33</v>
      </c>
      <c r="C195" s="6" t="s">
        <v>34</v>
      </c>
      <c r="D195" s="6" t="s">
        <v>35</v>
      </c>
      <c r="E195" s="6" t="s">
        <v>429</v>
      </c>
      <c r="F195" s="6" t="s">
        <v>24</v>
      </c>
      <c r="G195" s="6">
        <v>28</v>
      </c>
      <c r="H195" s="2" t="str" cm="1">
        <f t="array" ref="H195">_xlfn.IFS(G195&lt;30,"&lt;30",LoanData!G195&lt;40,"30-40",LoanData!G195&lt;50,"40-50",LoanData!G195&gt;=50,"50+")</f>
        <v>&lt;30</v>
      </c>
      <c r="I195" s="7">
        <v>45314</v>
      </c>
      <c r="J195" s="8">
        <v>314000</v>
      </c>
      <c r="K195" s="6">
        <v>24</v>
      </c>
      <c r="L195" s="9">
        <v>16.100000000000001</v>
      </c>
      <c r="M195" s="8">
        <v>15389</v>
      </c>
      <c r="N195" s="6">
        <v>6</v>
      </c>
      <c r="O195" s="6">
        <v>6</v>
      </c>
      <c r="P195" s="8">
        <v>92334</v>
      </c>
      <c r="Q195" s="8">
        <v>244651</v>
      </c>
      <c r="R195" s="6">
        <v>0</v>
      </c>
      <c r="S195" s="6" t="s">
        <v>25</v>
      </c>
      <c r="T195" s="8">
        <v>22985</v>
      </c>
    </row>
    <row r="196" spans="1:20" x14ac:dyDescent="0.3">
      <c r="A196" s="2" t="s">
        <v>430</v>
      </c>
      <c r="B196" s="2" t="s">
        <v>65</v>
      </c>
      <c r="C196" s="2" t="s">
        <v>28</v>
      </c>
      <c r="D196" s="2" t="s">
        <v>35</v>
      </c>
      <c r="E196" s="2" t="s">
        <v>431</v>
      </c>
      <c r="F196" s="2" t="s">
        <v>42</v>
      </c>
      <c r="G196" s="2">
        <v>47</v>
      </c>
      <c r="H196" s="2" t="str" cm="1">
        <f t="array" ref="H196">_xlfn.IFS(G196&lt;30,"&lt;30",LoanData!G196&lt;40,"30-40",LoanData!G196&lt;50,"40-50",LoanData!G196&gt;=50,"50+")</f>
        <v>40-50</v>
      </c>
      <c r="I196" s="3">
        <v>45312</v>
      </c>
      <c r="J196" s="4">
        <v>258000</v>
      </c>
      <c r="K196" s="2">
        <v>36</v>
      </c>
      <c r="L196" s="5">
        <v>17</v>
      </c>
      <c r="M196" s="4">
        <v>9198</v>
      </c>
      <c r="N196" s="2">
        <v>6</v>
      </c>
      <c r="O196" s="2">
        <v>6</v>
      </c>
      <c r="P196" s="4">
        <v>55188</v>
      </c>
      <c r="Q196" s="4">
        <v>223539</v>
      </c>
      <c r="R196" s="2">
        <v>0</v>
      </c>
      <c r="S196" s="2" t="s">
        <v>25</v>
      </c>
      <c r="T196" s="4">
        <v>20727</v>
      </c>
    </row>
    <row r="197" spans="1:20" x14ac:dyDescent="0.3">
      <c r="A197" s="6" t="s">
        <v>432</v>
      </c>
      <c r="B197" s="6" t="s">
        <v>52</v>
      </c>
      <c r="C197" s="6" t="s">
        <v>53</v>
      </c>
      <c r="D197" s="6" t="s">
        <v>35</v>
      </c>
      <c r="E197" s="6" t="s">
        <v>433</v>
      </c>
      <c r="F197" s="6" t="s">
        <v>42</v>
      </c>
      <c r="G197" s="6">
        <v>51</v>
      </c>
      <c r="H197" s="2" t="str" cm="1">
        <f t="array" ref="H197">_xlfn.IFS(G197&lt;30,"&lt;30",LoanData!G197&lt;40,"30-40",LoanData!G197&lt;50,"40-50",LoanData!G197&gt;=50,"50+")</f>
        <v>50+</v>
      </c>
      <c r="I197" s="7">
        <v>45417</v>
      </c>
      <c r="J197" s="8">
        <v>163000</v>
      </c>
      <c r="K197" s="6">
        <v>12</v>
      </c>
      <c r="L197" s="9">
        <v>15.6</v>
      </c>
      <c r="M197" s="8">
        <v>14758</v>
      </c>
      <c r="N197" s="6">
        <v>2</v>
      </c>
      <c r="O197" s="6">
        <v>1</v>
      </c>
      <c r="P197" s="8">
        <v>14758</v>
      </c>
      <c r="Q197" s="8">
        <v>150361</v>
      </c>
      <c r="R197" s="6">
        <v>13</v>
      </c>
      <c r="S197" s="6" t="s">
        <v>47</v>
      </c>
      <c r="T197" s="8">
        <v>2119</v>
      </c>
    </row>
    <row r="198" spans="1:20" x14ac:dyDescent="0.3">
      <c r="A198" s="2" t="s">
        <v>434</v>
      </c>
      <c r="B198" s="2" t="s">
        <v>40</v>
      </c>
      <c r="C198" s="2" t="s">
        <v>34</v>
      </c>
      <c r="D198" s="2" t="s">
        <v>35</v>
      </c>
      <c r="E198" s="2" t="s">
        <v>435</v>
      </c>
      <c r="F198" s="2" t="s">
        <v>31</v>
      </c>
      <c r="G198" s="2">
        <v>39</v>
      </c>
      <c r="H198" s="2" t="str" cm="1">
        <f t="array" ref="H198">_xlfn.IFS(G198&lt;30,"&lt;30",LoanData!G198&lt;40,"30-40",LoanData!G198&lt;50,"40-50",LoanData!G198&gt;=50,"50+")</f>
        <v>30-40</v>
      </c>
      <c r="I198" s="3">
        <v>45318</v>
      </c>
      <c r="J198" s="4">
        <v>379000</v>
      </c>
      <c r="K198" s="2">
        <v>24</v>
      </c>
      <c r="L198" s="5">
        <v>17.399999999999999</v>
      </c>
      <c r="M198" s="4">
        <v>18812</v>
      </c>
      <c r="N198" s="2">
        <v>6</v>
      </c>
      <c r="O198" s="2">
        <v>6</v>
      </c>
      <c r="P198" s="4">
        <v>112872</v>
      </c>
      <c r="Q198" s="4">
        <v>296151</v>
      </c>
      <c r="R198" s="2">
        <v>0</v>
      </c>
      <c r="S198" s="2" t="s">
        <v>25</v>
      </c>
      <c r="T198" s="4">
        <v>30023</v>
      </c>
    </row>
    <row r="199" spans="1:20" x14ac:dyDescent="0.3">
      <c r="A199" s="6" t="s">
        <v>436</v>
      </c>
      <c r="B199" s="6" t="s">
        <v>27</v>
      </c>
      <c r="C199" s="6" t="s">
        <v>28</v>
      </c>
      <c r="D199" s="6" t="s">
        <v>22</v>
      </c>
      <c r="E199" s="6" t="s">
        <v>437</v>
      </c>
      <c r="F199" s="6" t="s">
        <v>42</v>
      </c>
      <c r="G199" s="6">
        <v>49</v>
      </c>
      <c r="H199" s="2" t="str" cm="1">
        <f t="array" ref="H199">_xlfn.IFS(G199&lt;30,"&lt;30",LoanData!G199&lt;40,"30-40",LoanData!G199&lt;50,"40-50",LoanData!G199&gt;=50,"50+")</f>
        <v>40-50</v>
      </c>
      <c r="I199" s="7">
        <v>45374</v>
      </c>
      <c r="J199" s="8">
        <v>912000</v>
      </c>
      <c r="K199" s="6">
        <v>48</v>
      </c>
      <c r="L199" s="9">
        <v>10.1</v>
      </c>
      <c r="M199" s="8">
        <v>23174</v>
      </c>
      <c r="N199" s="6">
        <v>4</v>
      </c>
      <c r="O199" s="6">
        <v>4</v>
      </c>
      <c r="P199" s="8">
        <v>92696</v>
      </c>
      <c r="Q199" s="8">
        <v>849219</v>
      </c>
      <c r="R199" s="6">
        <v>0</v>
      </c>
      <c r="S199" s="6" t="s">
        <v>25</v>
      </c>
      <c r="T199" s="8">
        <v>29915</v>
      </c>
    </row>
    <row r="200" spans="1:20" x14ac:dyDescent="0.3">
      <c r="A200" s="2" t="s">
        <v>438</v>
      </c>
      <c r="B200" s="2" t="s">
        <v>80</v>
      </c>
      <c r="C200" s="2" t="s">
        <v>53</v>
      </c>
      <c r="D200" s="2" t="s">
        <v>35</v>
      </c>
      <c r="E200" s="2" t="s">
        <v>439</v>
      </c>
      <c r="F200" s="2" t="s">
        <v>24</v>
      </c>
      <c r="G200" s="2">
        <v>50</v>
      </c>
      <c r="H200" s="2" t="str" cm="1">
        <f t="array" ref="H200">_xlfn.IFS(G200&lt;30,"&lt;30",LoanData!G200&lt;40,"30-40",LoanData!G200&lt;50,"40-50",LoanData!G200&gt;=50,"50+")</f>
        <v>50+</v>
      </c>
      <c r="I200" s="3">
        <v>45417</v>
      </c>
      <c r="J200" s="4">
        <v>401000</v>
      </c>
      <c r="K200" s="2">
        <v>36</v>
      </c>
      <c r="L200" s="5">
        <v>16.399999999999999</v>
      </c>
      <c r="M200" s="4">
        <v>14177</v>
      </c>
      <c r="N200" s="2">
        <v>2</v>
      </c>
      <c r="O200" s="2">
        <v>2</v>
      </c>
      <c r="P200" s="4">
        <v>28354</v>
      </c>
      <c r="Q200" s="4">
        <v>383487</v>
      </c>
      <c r="R200" s="2">
        <v>0</v>
      </c>
      <c r="S200" s="2" t="s">
        <v>25</v>
      </c>
      <c r="T200" s="4">
        <v>10841</v>
      </c>
    </row>
    <row r="201" spans="1:20" x14ac:dyDescent="0.3">
      <c r="A201" s="6" t="s">
        <v>440</v>
      </c>
      <c r="B201" s="6" t="s">
        <v>33</v>
      </c>
      <c r="C201" s="6" t="s">
        <v>34</v>
      </c>
      <c r="D201" s="6" t="s">
        <v>22</v>
      </c>
      <c r="E201" s="6" t="s">
        <v>441</v>
      </c>
      <c r="F201" s="6" t="s">
        <v>42</v>
      </c>
      <c r="G201" s="6">
        <v>58</v>
      </c>
      <c r="H201" s="2" t="str" cm="1">
        <f t="array" ref="H201">_xlfn.IFS(G201&lt;30,"&lt;30",LoanData!G201&lt;40,"30-40",LoanData!G201&lt;50,"40-50",LoanData!G201&gt;=50,"50+")</f>
        <v>50+</v>
      </c>
      <c r="I201" s="7">
        <v>45326</v>
      </c>
      <c r="J201" s="8">
        <v>1158000</v>
      </c>
      <c r="K201" s="6">
        <v>48</v>
      </c>
      <c r="L201" s="9">
        <v>10</v>
      </c>
      <c r="M201" s="8">
        <v>29370</v>
      </c>
      <c r="N201" s="6">
        <v>5</v>
      </c>
      <c r="O201" s="6">
        <v>4</v>
      </c>
      <c r="P201" s="8">
        <v>117480</v>
      </c>
      <c r="Q201" s="8">
        <v>1078129</v>
      </c>
      <c r="R201" s="6">
        <v>35</v>
      </c>
      <c r="S201" s="6" t="s">
        <v>47</v>
      </c>
      <c r="T201" s="8">
        <v>37609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A64E9-12ED-46C8-93D8-53949CBD92FA}">
  <dimension ref="A1:D32"/>
  <sheetViews>
    <sheetView workbookViewId="0">
      <selection activeCell="C26" sqref="C26"/>
    </sheetView>
  </sheetViews>
  <sheetFormatPr defaultColWidth="8.6640625" defaultRowHeight="14.4" x14ac:dyDescent="0.3"/>
  <cols>
    <col min="1" max="1" width="5" customWidth="1"/>
    <col min="2" max="2" width="68" customWidth="1"/>
    <col min="3" max="3" width="32" customWidth="1"/>
    <col min="4" max="4" width="30" customWidth="1"/>
  </cols>
  <sheetData>
    <row r="1" spans="1:4" ht="21" x14ac:dyDescent="0.3">
      <c r="A1" s="50" t="s">
        <v>501</v>
      </c>
      <c r="B1" s="50"/>
      <c r="C1" s="50"/>
      <c r="D1" s="50"/>
    </row>
    <row r="3" spans="1:4" ht="15.6" x14ac:dyDescent="0.3">
      <c r="A3" s="49" t="s">
        <v>502</v>
      </c>
      <c r="B3" s="49"/>
      <c r="C3" s="49"/>
      <c r="D3" s="49"/>
    </row>
    <row r="4" spans="1:4" x14ac:dyDescent="0.3">
      <c r="A4" s="1" t="s">
        <v>503</v>
      </c>
      <c r="B4" s="1" t="s">
        <v>504</v>
      </c>
      <c r="C4" s="1" t="s">
        <v>505</v>
      </c>
      <c r="D4" s="1" t="s">
        <v>506</v>
      </c>
    </row>
    <row r="5" spans="1:4" ht="26.4" x14ac:dyDescent="0.3">
      <c r="A5" s="23">
        <v>1</v>
      </c>
      <c r="B5" s="14" t="s">
        <v>507</v>
      </c>
      <c r="C5" s="24"/>
      <c r="D5" s="25"/>
    </row>
    <row r="6" spans="1:4" ht="26.4" x14ac:dyDescent="0.3">
      <c r="A6" s="23">
        <v>2</v>
      </c>
      <c r="B6" s="14" t="s">
        <v>508</v>
      </c>
      <c r="C6" s="24"/>
      <c r="D6" s="25"/>
    </row>
    <row r="7" spans="1:4" ht="26.4" x14ac:dyDescent="0.3">
      <c r="A7" s="23">
        <v>3</v>
      </c>
      <c r="B7" s="14" t="s">
        <v>509</v>
      </c>
      <c r="C7" s="24" t="s">
        <v>541</v>
      </c>
      <c r="D7" s="25"/>
    </row>
    <row r="9" spans="1:4" ht="15.6" x14ac:dyDescent="0.3">
      <c r="A9" s="49" t="s">
        <v>510</v>
      </c>
      <c r="B9" s="49"/>
      <c r="C9" s="49"/>
      <c r="D9" s="49"/>
    </row>
    <row r="10" spans="1:4" x14ac:dyDescent="0.3">
      <c r="A10" s="1" t="s">
        <v>503</v>
      </c>
      <c r="B10" s="1" t="s">
        <v>504</v>
      </c>
      <c r="C10" s="1" t="s">
        <v>505</v>
      </c>
      <c r="D10" s="1" t="s">
        <v>506</v>
      </c>
    </row>
    <row r="11" spans="1:4" x14ac:dyDescent="0.3">
      <c r="A11" s="23">
        <v>1</v>
      </c>
      <c r="B11" s="14" t="s">
        <v>511</v>
      </c>
      <c r="C11" s="24"/>
      <c r="D11" s="25"/>
    </row>
    <row r="12" spans="1:4" ht="26.4" x14ac:dyDescent="0.3">
      <c r="A12" s="23">
        <v>2</v>
      </c>
      <c r="B12" s="14" t="s">
        <v>512</v>
      </c>
      <c r="C12" s="24"/>
      <c r="D12" s="25"/>
    </row>
    <row r="13" spans="1:4" x14ac:dyDescent="0.3">
      <c r="A13" s="23">
        <v>3</v>
      </c>
      <c r="B13" s="14" t="s">
        <v>513</v>
      </c>
      <c r="C13" s="24"/>
      <c r="D13" s="25"/>
    </row>
    <row r="14" spans="1:4" ht="26.4" x14ac:dyDescent="0.3">
      <c r="A14" s="23">
        <v>4</v>
      </c>
      <c r="B14" s="14" t="s">
        <v>514</v>
      </c>
      <c r="C14" s="24"/>
      <c r="D14" s="25"/>
    </row>
    <row r="16" spans="1:4" ht="15.6" x14ac:dyDescent="0.3">
      <c r="A16" s="49" t="s">
        <v>515</v>
      </c>
      <c r="B16" s="49"/>
      <c r="C16" s="49"/>
      <c r="D16" s="49"/>
    </row>
    <row r="17" spans="1:4" x14ac:dyDescent="0.3">
      <c r="A17" s="1" t="s">
        <v>503</v>
      </c>
      <c r="B17" s="1" t="s">
        <v>504</v>
      </c>
      <c r="C17" s="1" t="s">
        <v>505</v>
      </c>
      <c r="D17" s="1" t="s">
        <v>506</v>
      </c>
    </row>
    <row r="18" spans="1:4" ht="26.4" x14ac:dyDescent="0.3">
      <c r="A18" s="23">
        <v>1</v>
      </c>
      <c r="B18" s="14" t="s">
        <v>516</v>
      </c>
      <c r="C18" s="24"/>
      <c r="D18" s="25"/>
    </row>
    <row r="19" spans="1:4" ht="26.4" x14ac:dyDescent="0.3">
      <c r="A19" s="23">
        <v>2</v>
      </c>
      <c r="B19" s="14" t="s">
        <v>517</v>
      </c>
      <c r="C19" s="24"/>
      <c r="D19" s="25"/>
    </row>
    <row r="20" spans="1:4" ht="26.4" x14ac:dyDescent="0.3">
      <c r="A20" s="23">
        <v>3</v>
      </c>
      <c r="B20" s="14" t="s">
        <v>518</v>
      </c>
      <c r="C20" s="24"/>
      <c r="D20" s="25"/>
    </row>
    <row r="22" spans="1:4" ht="15.6" x14ac:dyDescent="0.3">
      <c r="A22" s="49" t="s">
        <v>519</v>
      </c>
      <c r="B22" s="49"/>
      <c r="C22" s="49"/>
      <c r="D22" s="49"/>
    </row>
    <row r="23" spans="1:4" x14ac:dyDescent="0.3">
      <c r="A23" s="1" t="s">
        <v>503</v>
      </c>
      <c r="B23" s="1" t="s">
        <v>504</v>
      </c>
      <c r="C23" s="1" t="s">
        <v>505</v>
      </c>
      <c r="D23" s="1" t="s">
        <v>506</v>
      </c>
    </row>
    <row r="24" spans="1:4" x14ac:dyDescent="0.3">
      <c r="A24" s="23">
        <v>1</v>
      </c>
      <c r="B24" s="14" t="s">
        <v>520</v>
      </c>
      <c r="C24" s="24"/>
      <c r="D24" s="25"/>
    </row>
    <row r="25" spans="1:4" ht="34.200000000000003" x14ac:dyDescent="0.3">
      <c r="A25" s="23">
        <v>2</v>
      </c>
      <c r="B25" s="14" t="s">
        <v>521</v>
      </c>
      <c r="C25" s="24" t="s">
        <v>554</v>
      </c>
      <c r="D25" s="25"/>
    </row>
    <row r="26" spans="1:4" ht="26.4" x14ac:dyDescent="0.3">
      <c r="A26" s="23">
        <v>3</v>
      </c>
      <c r="B26" s="14" t="s">
        <v>522</v>
      </c>
      <c r="C26" s="24"/>
      <c r="D26" s="25"/>
    </row>
    <row r="28" spans="1:4" ht="15.6" x14ac:dyDescent="0.3">
      <c r="A28" s="49" t="s">
        <v>523</v>
      </c>
      <c r="B28" s="49"/>
      <c r="C28" s="49"/>
      <c r="D28" s="49"/>
    </row>
    <row r="29" spans="1:4" x14ac:dyDescent="0.3">
      <c r="A29" s="1" t="s">
        <v>503</v>
      </c>
      <c r="B29" s="1" t="s">
        <v>504</v>
      </c>
      <c r="C29" s="1" t="s">
        <v>505</v>
      </c>
      <c r="D29" s="1" t="s">
        <v>506</v>
      </c>
    </row>
    <row r="30" spans="1:4" ht="26.4" x14ac:dyDescent="0.3">
      <c r="A30" s="23">
        <v>1</v>
      </c>
      <c r="B30" s="14" t="s">
        <v>524</v>
      </c>
      <c r="C30" s="24"/>
      <c r="D30" s="25"/>
    </row>
    <row r="31" spans="1:4" ht="26.4" x14ac:dyDescent="0.3">
      <c r="A31" s="23">
        <v>2</v>
      </c>
      <c r="B31" s="14" t="s">
        <v>525</v>
      </c>
      <c r="C31" s="24"/>
      <c r="D31" s="25"/>
    </row>
    <row r="32" spans="1:4" ht="39.6" x14ac:dyDescent="0.3">
      <c r="A32" s="23">
        <v>3</v>
      </c>
      <c r="B32" s="14" t="s">
        <v>526</v>
      </c>
      <c r="C32" s="24"/>
      <c r="D32" s="25"/>
    </row>
  </sheetData>
  <mergeCells count="6">
    <mergeCell ref="A28:D28"/>
    <mergeCell ref="A1:D1"/>
    <mergeCell ref="A3:D3"/>
    <mergeCell ref="A9:D9"/>
    <mergeCell ref="A16:D16"/>
    <mergeCell ref="A22:D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85AC3-CA86-416D-91EC-0558350AF8CE}">
  <dimension ref="A1:U26"/>
  <sheetViews>
    <sheetView zoomScale="108" workbookViewId="0">
      <selection activeCell="V8" sqref="V8"/>
    </sheetView>
  </sheetViews>
  <sheetFormatPr defaultRowHeight="14.4" x14ac:dyDescent="0.3"/>
  <sheetData>
    <row r="1" spans="1:21" x14ac:dyDescent="0.3">
      <c r="A1" s="39"/>
      <c r="B1" s="39"/>
      <c r="C1" s="39"/>
      <c r="D1" s="39"/>
      <c r="E1" s="39"/>
      <c r="F1" s="39"/>
      <c r="G1" s="39"/>
      <c r="H1" s="39"/>
      <c r="I1" s="39"/>
      <c r="J1" s="39"/>
      <c r="K1" s="39"/>
      <c r="L1" s="39"/>
      <c r="M1" s="39"/>
      <c r="N1" s="39"/>
      <c r="O1" s="39"/>
      <c r="P1" s="39"/>
      <c r="Q1" s="39"/>
      <c r="R1" s="39"/>
      <c r="S1" s="39"/>
      <c r="T1" s="39"/>
      <c r="U1" s="39"/>
    </row>
    <row r="2" spans="1:21" x14ac:dyDescent="0.3">
      <c r="A2" s="39"/>
      <c r="B2" s="39"/>
      <c r="C2" s="39"/>
      <c r="D2" s="39"/>
      <c r="E2" s="39"/>
      <c r="F2" s="39"/>
      <c r="G2" s="39"/>
      <c r="H2" s="39"/>
      <c r="I2" s="39"/>
      <c r="J2" s="39"/>
      <c r="K2" s="39"/>
      <c r="L2" s="39"/>
      <c r="M2" s="39"/>
      <c r="N2" s="39"/>
      <c r="O2" s="39"/>
      <c r="P2" s="39"/>
      <c r="Q2" s="39"/>
      <c r="R2" s="39"/>
      <c r="S2" s="39"/>
      <c r="T2" s="39"/>
      <c r="U2" s="39"/>
    </row>
    <row r="3" spans="1:21" x14ac:dyDescent="0.3">
      <c r="A3" s="39"/>
      <c r="B3" s="39"/>
      <c r="C3" s="39"/>
      <c r="D3" s="39"/>
      <c r="E3" s="39"/>
      <c r="F3" s="39"/>
      <c r="G3" s="39"/>
      <c r="H3" s="40"/>
      <c r="I3" s="39"/>
      <c r="J3" s="39"/>
      <c r="K3" s="39"/>
      <c r="L3" s="39"/>
      <c r="M3" s="39"/>
      <c r="N3" s="39"/>
      <c r="O3" s="39"/>
      <c r="P3" s="39"/>
      <c r="Q3" s="39"/>
      <c r="R3" s="39"/>
      <c r="S3" s="39"/>
      <c r="T3" s="39"/>
      <c r="U3" s="39"/>
    </row>
    <row r="4" spans="1:21" x14ac:dyDescent="0.3">
      <c r="A4" s="39"/>
      <c r="B4" s="39"/>
      <c r="C4" s="39"/>
      <c r="D4" s="39"/>
      <c r="E4" s="39"/>
      <c r="F4" s="39"/>
      <c r="G4" s="39"/>
      <c r="H4" s="39"/>
      <c r="I4" s="39"/>
      <c r="J4" s="39"/>
      <c r="K4" s="39"/>
      <c r="L4" s="39"/>
      <c r="M4" s="39"/>
      <c r="N4" s="39"/>
      <c r="O4" s="39"/>
      <c r="P4" s="39"/>
      <c r="Q4" s="39"/>
      <c r="R4" s="39"/>
      <c r="S4" s="39"/>
      <c r="T4" s="39"/>
      <c r="U4" s="39"/>
    </row>
    <row r="5" spans="1:21" x14ac:dyDescent="0.3">
      <c r="A5" s="39"/>
      <c r="B5" s="39"/>
      <c r="C5" s="39"/>
      <c r="D5" s="39"/>
      <c r="E5" s="39"/>
      <c r="F5" s="39"/>
      <c r="G5" s="39"/>
      <c r="H5" s="39"/>
      <c r="I5" s="39"/>
      <c r="J5" s="39"/>
      <c r="K5" s="39"/>
      <c r="L5" s="39"/>
      <c r="M5" s="39"/>
      <c r="N5" s="39"/>
      <c r="O5" s="39"/>
      <c r="P5" s="39"/>
      <c r="Q5" s="39"/>
      <c r="R5" s="39"/>
      <c r="S5" s="39"/>
      <c r="T5" s="39"/>
      <c r="U5" s="39"/>
    </row>
    <row r="6" spans="1:21" x14ac:dyDescent="0.3">
      <c r="A6" s="39"/>
      <c r="B6" s="39"/>
      <c r="C6" s="39"/>
      <c r="D6" s="39"/>
      <c r="E6" s="39"/>
      <c r="F6" s="39"/>
      <c r="G6" s="39"/>
      <c r="H6" s="39"/>
      <c r="I6" s="39"/>
      <c r="J6" s="39"/>
      <c r="K6" s="39"/>
      <c r="L6" s="39"/>
      <c r="M6" s="39"/>
      <c r="N6" s="39"/>
      <c r="O6" s="39"/>
      <c r="P6" s="39"/>
      <c r="Q6" s="39"/>
      <c r="R6" s="39"/>
      <c r="S6" s="39"/>
      <c r="T6" s="39"/>
      <c r="U6" s="39"/>
    </row>
    <row r="7" spans="1:21" x14ac:dyDescent="0.3">
      <c r="A7" s="39"/>
      <c r="B7" s="39"/>
      <c r="C7" s="39"/>
      <c r="D7" s="39"/>
      <c r="E7" s="39"/>
      <c r="F7" s="39"/>
      <c r="G7" s="39"/>
      <c r="H7" s="39"/>
      <c r="I7" s="39"/>
      <c r="J7" s="39"/>
      <c r="K7" s="39"/>
      <c r="L7" s="39"/>
      <c r="M7" s="39"/>
      <c r="N7" s="39"/>
      <c r="O7" s="39"/>
      <c r="P7" s="39"/>
      <c r="Q7" s="39"/>
      <c r="R7" s="39"/>
      <c r="S7" s="39"/>
      <c r="T7" s="39"/>
      <c r="U7" s="39"/>
    </row>
    <row r="8" spans="1:21" x14ac:dyDescent="0.3">
      <c r="A8" s="39"/>
      <c r="B8" s="39"/>
      <c r="C8" s="39"/>
      <c r="D8" s="39"/>
      <c r="E8" s="39"/>
      <c r="F8" s="39"/>
      <c r="G8" s="39"/>
      <c r="H8" s="39"/>
      <c r="I8" s="39"/>
      <c r="J8" s="39"/>
      <c r="K8" s="39"/>
      <c r="L8" s="39"/>
      <c r="M8" s="39"/>
      <c r="N8" s="39"/>
      <c r="O8" s="39"/>
      <c r="P8" s="39"/>
      <c r="Q8" s="39"/>
      <c r="R8" s="39"/>
      <c r="S8" s="39"/>
      <c r="T8" s="39"/>
      <c r="U8" s="39"/>
    </row>
    <row r="9" spans="1:21" x14ac:dyDescent="0.3">
      <c r="A9" s="39"/>
      <c r="B9" s="39"/>
      <c r="C9" s="39"/>
      <c r="D9" s="39"/>
      <c r="E9" s="39"/>
      <c r="F9" s="39"/>
      <c r="G9" s="39"/>
      <c r="H9" s="39"/>
      <c r="I9" s="39"/>
      <c r="J9" s="39"/>
      <c r="K9" s="39"/>
      <c r="L9" s="39"/>
      <c r="M9" s="39"/>
      <c r="N9" s="39"/>
      <c r="O9" s="39"/>
      <c r="P9" s="39"/>
      <c r="Q9" s="39"/>
      <c r="R9" s="39"/>
      <c r="S9" s="39"/>
      <c r="T9" s="39"/>
      <c r="U9" s="39"/>
    </row>
    <row r="10" spans="1:21" x14ac:dyDescent="0.3">
      <c r="A10" s="39"/>
      <c r="B10" s="39"/>
      <c r="C10" s="39"/>
      <c r="D10" s="39"/>
      <c r="E10" s="39"/>
      <c r="F10" s="39"/>
      <c r="G10" s="39"/>
      <c r="H10" s="39"/>
      <c r="I10" s="39"/>
      <c r="J10" s="39"/>
      <c r="K10" s="39"/>
      <c r="L10" s="39"/>
      <c r="M10" s="39"/>
      <c r="N10" s="39"/>
      <c r="O10" s="39"/>
      <c r="P10" s="39"/>
      <c r="Q10" s="39"/>
      <c r="R10" s="39"/>
      <c r="S10" s="39"/>
      <c r="T10" s="39"/>
      <c r="U10" s="39"/>
    </row>
    <row r="11" spans="1:21" x14ac:dyDescent="0.3">
      <c r="A11" s="39"/>
      <c r="B11" s="39"/>
      <c r="C11" s="39"/>
      <c r="D11" s="39"/>
      <c r="E11" s="39"/>
      <c r="F11" s="39"/>
      <c r="G11" s="39"/>
      <c r="H11" s="39"/>
      <c r="I11" s="39"/>
      <c r="J11" s="39"/>
      <c r="K11" s="39"/>
      <c r="L11" s="39"/>
      <c r="M11" s="39"/>
      <c r="N11" s="39"/>
      <c r="O11" s="39"/>
      <c r="P11" s="39"/>
      <c r="Q11" s="39"/>
      <c r="R11" s="39"/>
      <c r="S11" s="39"/>
      <c r="T11" s="39"/>
      <c r="U11" s="39"/>
    </row>
    <row r="12" spans="1:21" x14ac:dyDescent="0.3">
      <c r="A12" s="39"/>
      <c r="B12" s="39"/>
      <c r="C12" s="39"/>
      <c r="D12" s="39"/>
      <c r="E12" s="39"/>
      <c r="F12" s="39"/>
      <c r="G12" s="39"/>
      <c r="H12" s="39"/>
      <c r="I12" s="39"/>
      <c r="J12" s="39"/>
      <c r="K12" s="39"/>
      <c r="L12" s="39"/>
      <c r="M12" s="39"/>
      <c r="N12" s="39"/>
      <c r="O12" s="39"/>
      <c r="P12" s="39"/>
      <c r="Q12" s="39"/>
      <c r="R12" s="39"/>
      <c r="S12" s="39"/>
      <c r="T12" s="39"/>
      <c r="U12" s="39"/>
    </row>
    <row r="13" spans="1:21" x14ac:dyDescent="0.3">
      <c r="A13" s="39"/>
      <c r="B13" s="39"/>
      <c r="C13" s="39"/>
      <c r="D13" s="39"/>
      <c r="E13" s="39"/>
      <c r="F13" s="39"/>
      <c r="G13" s="39"/>
      <c r="H13" s="39"/>
      <c r="I13" s="39"/>
      <c r="J13" s="39"/>
      <c r="K13" s="39"/>
      <c r="L13" s="39"/>
      <c r="M13" s="39"/>
      <c r="N13" s="39"/>
      <c r="O13" s="39"/>
      <c r="P13" s="39"/>
      <c r="Q13" s="39"/>
      <c r="R13" s="39"/>
      <c r="S13" s="39"/>
      <c r="T13" s="39"/>
      <c r="U13" s="39"/>
    </row>
    <row r="14" spans="1:21" x14ac:dyDescent="0.3">
      <c r="A14" s="39"/>
      <c r="B14" s="39"/>
      <c r="C14" s="39"/>
      <c r="D14" s="39"/>
      <c r="E14" s="39"/>
      <c r="F14" s="39"/>
      <c r="G14" s="39"/>
      <c r="H14" s="39"/>
      <c r="I14" s="39"/>
      <c r="J14" s="39"/>
      <c r="K14" s="39"/>
      <c r="L14" s="39"/>
      <c r="M14" s="39"/>
      <c r="N14" s="39"/>
      <c r="O14" s="39"/>
      <c r="P14" s="39"/>
      <c r="Q14" s="39"/>
      <c r="R14" s="39"/>
      <c r="S14" s="39"/>
      <c r="T14" s="39"/>
      <c r="U14" s="39"/>
    </row>
    <row r="15" spans="1:21" x14ac:dyDescent="0.3">
      <c r="A15" s="39"/>
      <c r="B15" s="39"/>
      <c r="C15" s="39"/>
      <c r="D15" s="39"/>
      <c r="E15" s="39"/>
      <c r="F15" s="39"/>
      <c r="G15" s="39"/>
      <c r="H15" s="39"/>
      <c r="I15" s="39"/>
      <c r="J15" s="39"/>
      <c r="K15" s="39"/>
      <c r="L15" s="39"/>
      <c r="M15" s="39"/>
      <c r="N15" s="39"/>
      <c r="O15" s="39"/>
      <c r="P15" s="39"/>
      <c r="Q15" s="39"/>
      <c r="R15" s="39"/>
      <c r="S15" s="39"/>
      <c r="T15" s="39"/>
      <c r="U15" s="39"/>
    </row>
    <row r="16" spans="1:21" x14ac:dyDescent="0.3">
      <c r="A16" s="39"/>
      <c r="B16" s="39"/>
      <c r="C16" s="39"/>
      <c r="D16" s="39"/>
      <c r="E16" s="39"/>
      <c r="F16" s="39"/>
      <c r="G16" s="39"/>
      <c r="H16" s="39"/>
      <c r="I16" s="39"/>
      <c r="J16" s="39"/>
      <c r="K16" s="39"/>
      <c r="L16" s="39"/>
      <c r="M16" s="39"/>
      <c r="N16" s="39"/>
      <c r="O16" s="39"/>
      <c r="P16" s="39"/>
      <c r="Q16" s="39"/>
      <c r="R16" s="39"/>
      <c r="S16" s="39"/>
      <c r="T16" s="39"/>
      <c r="U16" s="39"/>
    </row>
    <row r="17" spans="1:21" x14ac:dyDescent="0.3">
      <c r="A17" s="39"/>
      <c r="B17" s="39"/>
      <c r="C17" s="39"/>
      <c r="D17" s="39"/>
      <c r="E17" s="39"/>
      <c r="F17" s="39"/>
      <c r="G17" s="39"/>
      <c r="H17" s="39"/>
      <c r="I17" s="39"/>
      <c r="J17" s="39"/>
      <c r="K17" s="39"/>
      <c r="L17" s="39"/>
      <c r="M17" s="39"/>
      <c r="N17" s="39"/>
      <c r="O17" s="39"/>
      <c r="P17" s="39"/>
      <c r="Q17" s="39"/>
      <c r="R17" s="39"/>
      <c r="S17" s="39"/>
      <c r="T17" s="39"/>
      <c r="U17" s="39"/>
    </row>
    <row r="18" spans="1:21" x14ac:dyDescent="0.3">
      <c r="A18" s="39"/>
      <c r="B18" s="39"/>
      <c r="C18" s="39"/>
      <c r="D18" s="39"/>
      <c r="E18" s="39"/>
      <c r="F18" s="39"/>
      <c r="G18" s="39"/>
      <c r="H18" s="39"/>
      <c r="I18" s="39"/>
      <c r="J18" s="39"/>
      <c r="K18" s="39"/>
      <c r="L18" s="39"/>
      <c r="M18" s="39"/>
      <c r="N18" s="39"/>
      <c r="O18" s="39"/>
      <c r="P18" s="39"/>
      <c r="Q18" s="39"/>
      <c r="R18" s="39"/>
      <c r="S18" s="39"/>
      <c r="T18" s="39"/>
      <c r="U18" s="39"/>
    </row>
    <row r="19" spans="1:21" x14ac:dyDescent="0.3">
      <c r="A19" s="39"/>
      <c r="B19" s="39"/>
      <c r="C19" s="39"/>
      <c r="D19" s="39"/>
      <c r="E19" s="39"/>
      <c r="F19" s="39"/>
      <c r="G19" s="39"/>
      <c r="H19" s="39"/>
      <c r="I19" s="39"/>
      <c r="J19" s="39"/>
      <c r="K19" s="39"/>
      <c r="L19" s="39"/>
      <c r="M19" s="39"/>
      <c r="N19" s="39"/>
      <c r="O19" s="39"/>
      <c r="P19" s="39"/>
      <c r="Q19" s="39"/>
      <c r="R19" s="39"/>
      <c r="S19" s="39"/>
      <c r="T19" s="39"/>
      <c r="U19" s="39"/>
    </row>
    <row r="20" spans="1:21" x14ac:dyDescent="0.3">
      <c r="A20" s="39"/>
      <c r="B20" s="39"/>
      <c r="C20" s="39"/>
      <c r="D20" s="39"/>
      <c r="E20" s="39"/>
      <c r="F20" s="39"/>
      <c r="G20" s="39"/>
      <c r="H20" s="39"/>
      <c r="I20" s="39"/>
      <c r="J20" s="39"/>
      <c r="K20" s="39"/>
      <c r="L20" s="39"/>
      <c r="M20" s="39"/>
      <c r="N20" s="39"/>
      <c r="O20" s="39"/>
      <c r="P20" s="39"/>
      <c r="Q20" s="39"/>
      <c r="R20" s="39"/>
      <c r="S20" s="39"/>
      <c r="T20" s="39"/>
      <c r="U20" s="39"/>
    </row>
    <row r="21" spans="1:21" x14ac:dyDescent="0.3">
      <c r="A21" s="39"/>
      <c r="B21" s="39"/>
      <c r="C21" s="39"/>
      <c r="D21" s="39"/>
      <c r="E21" s="39"/>
      <c r="F21" s="39"/>
      <c r="G21" s="39"/>
      <c r="H21" s="39"/>
      <c r="I21" s="39"/>
      <c r="J21" s="39"/>
      <c r="K21" s="41"/>
      <c r="L21" s="39"/>
      <c r="M21" s="39"/>
      <c r="N21" s="39"/>
      <c r="O21" s="39"/>
      <c r="P21" s="39"/>
      <c r="Q21" s="39"/>
      <c r="R21" s="39"/>
      <c r="S21" s="39"/>
      <c r="T21" s="39"/>
      <c r="U21" s="39"/>
    </row>
    <row r="22" spans="1:21" x14ac:dyDescent="0.3">
      <c r="A22" s="39"/>
      <c r="B22" s="39"/>
      <c r="C22" s="39"/>
      <c r="D22" s="39"/>
      <c r="E22" s="39"/>
      <c r="F22" s="39"/>
      <c r="G22" s="39"/>
      <c r="H22" s="39"/>
      <c r="I22" s="39"/>
      <c r="J22" s="39"/>
      <c r="K22" s="39"/>
      <c r="L22" s="39"/>
      <c r="M22" s="39"/>
      <c r="N22" s="39"/>
      <c r="O22" s="39"/>
      <c r="P22" s="39"/>
      <c r="Q22" s="39"/>
      <c r="R22" s="39"/>
      <c r="S22" s="39"/>
      <c r="T22" s="39"/>
      <c r="U22" s="39"/>
    </row>
    <row r="23" spans="1:21" x14ac:dyDescent="0.3">
      <c r="A23" s="39"/>
      <c r="B23" s="39"/>
      <c r="C23" s="39"/>
      <c r="D23" s="39"/>
      <c r="E23" s="39"/>
      <c r="F23" s="39"/>
      <c r="G23" s="39"/>
      <c r="H23" s="39"/>
      <c r="I23" s="39"/>
      <c r="J23" s="39"/>
      <c r="K23" s="39"/>
      <c r="L23" s="39"/>
      <c r="M23" s="39"/>
      <c r="N23" s="39"/>
      <c r="O23" s="39"/>
      <c r="P23" s="39"/>
      <c r="Q23" s="39"/>
      <c r="R23" s="39"/>
      <c r="S23" s="39"/>
      <c r="T23" s="39"/>
      <c r="U23" s="39"/>
    </row>
    <row r="24" spans="1:21" x14ac:dyDescent="0.3">
      <c r="A24" s="39"/>
      <c r="B24" s="39"/>
      <c r="C24" s="39"/>
      <c r="D24" s="39"/>
      <c r="E24" s="39"/>
      <c r="F24" s="39"/>
      <c r="G24" s="39"/>
      <c r="H24" s="39"/>
      <c r="I24" s="39"/>
      <c r="J24" s="39"/>
      <c r="K24" s="39"/>
      <c r="L24" s="39"/>
      <c r="M24" s="39"/>
      <c r="N24" s="39"/>
      <c r="O24" s="39"/>
      <c r="P24" s="39"/>
      <c r="Q24" s="39"/>
      <c r="R24" s="39"/>
      <c r="S24" s="39"/>
      <c r="T24" s="39"/>
      <c r="U24" s="39"/>
    </row>
    <row r="25" spans="1:21" x14ac:dyDescent="0.3">
      <c r="A25" s="39"/>
      <c r="B25" s="39"/>
      <c r="C25" s="39"/>
      <c r="D25" s="39"/>
      <c r="E25" s="39"/>
      <c r="F25" s="39"/>
      <c r="G25" s="39"/>
      <c r="H25" s="39"/>
      <c r="I25" s="39"/>
      <c r="J25" s="39"/>
      <c r="K25" s="39"/>
      <c r="L25" s="39"/>
      <c r="M25" s="39"/>
      <c r="N25" s="39"/>
      <c r="O25" s="39"/>
      <c r="P25" s="39"/>
      <c r="Q25" s="39"/>
      <c r="R25" s="39"/>
      <c r="S25" s="39"/>
      <c r="T25" s="39"/>
      <c r="U25" s="39"/>
    </row>
    <row r="26" spans="1:21" x14ac:dyDescent="0.3">
      <c r="A26" s="39"/>
      <c r="B26" s="39"/>
      <c r="C26" s="39"/>
      <c r="D26" s="39"/>
      <c r="E26" s="39"/>
      <c r="F26" s="39"/>
      <c r="G26" s="39"/>
      <c r="H26" s="39"/>
      <c r="I26" s="39"/>
      <c r="J26" s="39"/>
      <c r="K26" s="39"/>
      <c r="L26" s="39"/>
      <c r="M26" s="39"/>
      <c r="N26" s="39"/>
      <c r="O26" s="39"/>
      <c r="P26" s="39"/>
      <c r="Q26" s="39"/>
      <c r="R26" s="39"/>
      <c r="S26" s="39"/>
      <c r="T26" s="39"/>
      <c r="U26" s="3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48763-EB76-41C0-8B29-56F704E29553}">
  <dimension ref="A1:X28"/>
  <sheetViews>
    <sheetView showGridLines="0" zoomScaleNormal="100" workbookViewId="0">
      <selection activeCell="T3" sqref="T3"/>
    </sheetView>
  </sheetViews>
  <sheetFormatPr defaultRowHeight="14.4" x14ac:dyDescent="0.3"/>
  <sheetData>
    <row r="1" spans="1:24" x14ac:dyDescent="0.3">
      <c r="A1" s="48"/>
      <c r="B1" s="48"/>
      <c r="C1" s="48"/>
      <c r="D1" s="48"/>
      <c r="E1" s="48"/>
      <c r="F1" s="48"/>
      <c r="G1" s="48"/>
      <c r="H1" s="48"/>
      <c r="I1" s="48"/>
      <c r="J1" s="48"/>
      <c r="K1" s="48"/>
      <c r="L1" s="48"/>
      <c r="M1" s="48"/>
      <c r="N1" s="48"/>
      <c r="O1" s="48"/>
      <c r="P1" s="48"/>
      <c r="Q1" s="48"/>
      <c r="R1" s="48"/>
      <c r="S1" s="48"/>
      <c r="T1" s="48"/>
      <c r="U1" s="48"/>
      <c r="V1" s="48"/>
      <c r="W1" s="48"/>
      <c r="X1" s="48"/>
    </row>
    <row r="2" spans="1:24" x14ac:dyDescent="0.3">
      <c r="A2" s="48"/>
      <c r="B2" s="48"/>
      <c r="C2" s="48"/>
      <c r="D2" s="48"/>
      <c r="E2" s="48"/>
      <c r="F2" s="48"/>
      <c r="G2" s="48"/>
      <c r="H2" s="48"/>
      <c r="I2" s="48"/>
      <c r="J2" s="48"/>
      <c r="K2" s="48"/>
      <c r="L2" s="48"/>
      <c r="M2" s="48"/>
      <c r="N2" s="48"/>
      <c r="O2" s="48"/>
      <c r="P2" s="48"/>
      <c r="Q2" s="48"/>
      <c r="R2" s="48"/>
      <c r="S2" s="48"/>
      <c r="T2" s="48"/>
      <c r="U2" s="48"/>
      <c r="V2" s="48"/>
      <c r="W2" s="48"/>
      <c r="X2" s="48"/>
    </row>
    <row r="3" spans="1:24" x14ac:dyDescent="0.3">
      <c r="A3" s="48"/>
      <c r="B3" s="48"/>
      <c r="C3" s="48"/>
      <c r="D3" s="48"/>
      <c r="E3" s="48"/>
      <c r="F3" s="48"/>
      <c r="G3" s="48"/>
      <c r="H3" s="48"/>
      <c r="I3" s="48"/>
      <c r="J3" s="48"/>
      <c r="K3" s="48"/>
      <c r="L3" s="48"/>
      <c r="M3" s="48"/>
      <c r="N3" s="48"/>
      <c r="O3" s="48"/>
      <c r="P3" s="48"/>
      <c r="Q3" s="48"/>
      <c r="R3" s="48"/>
      <c r="S3" s="48"/>
      <c r="T3" s="48"/>
      <c r="U3" s="48"/>
      <c r="V3" s="48"/>
      <c r="W3" s="48"/>
      <c r="X3" s="48"/>
    </row>
    <row r="4" spans="1:24" x14ac:dyDescent="0.3">
      <c r="A4" s="48"/>
      <c r="B4" s="48"/>
      <c r="C4" s="48"/>
      <c r="D4" s="48"/>
      <c r="E4" s="48"/>
      <c r="F4" s="48"/>
      <c r="G4" s="48"/>
      <c r="H4" s="48"/>
      <c r="I4" s="48"/>
      <c r="J4" s="48"/>
      <c r="K4" s="48"/>
      <c r="L4" s="48"/>
      <c r="M4" s="48"/>
      <c r="N4" s="48"/>
      <c r="O4" s="48"/>
      <c r="P4" s="48"/>
      <c r="Q4" s="48"/>
      <c r="R4" s="48"/>
      <c r="S4" s="48"/>
      <c r="T4" s="48"/>
      <c r="U4" s="48"/>
      <c r="V4" s="48"/>
      <c r="W4" s="48"/>
      <c r="X4" s="48"/>
    </row>
    <row r="5" spans="1:24" x14ac:dyDescent="0.3">
      <c r="A5" s="48"/>
      <c r="B5" s="48"/>
      <c r="C5" s="48"/>
      <c r="D5" s="48"/>
      <c r="E5" s="48"/>
      <c r="F5" s="48"/>
      <c r="G5" s="48"/>
      <c r="H5" s="48"/>
      <c r="I5" s="48"/>
      <c r="J5" s="48"/>
      <c r="K5" s="48"/>
      <c r="L5" s="48"/>
      <c r="M5" s="48"/>
      <c r="N5" s="48"/>
      <c r="O5" s="48"/>
      <c r="P5" s="48"/>
      <c r="Q5" s="48"/>
      <c r="R5" s="48"/>
      <c r="S5" s="48"/>
      <c r="T5" s="48"/>
      <c r="U5" s="48"/>
      <c r="V5" s="48"/>
      <c r="W5" s="48"/>
      <c r="X5" s="48"/>
    </row>
    <row r="6" spans="1:24" x14ac:dyDescent="0.3">
      <c r="A6" s="48"/>
      <c r="B6" s="48"/>
      <c r="C6" s="48"/>
      <c r="D6" s="48"/>
      <c r="E6" s="48"/>
      <c r="F6" s="48"/>
      <c r="G6" s="48"/>
      <c r="H6" s="48"/>
      <c r="I6" s="48"/>
      <c r="J6" s="48"/>
      <c r="K6" s="48"/>
      <c r="L6" s="48"/>
      <c r="M6" s="48"/>
      <c r="N6" s="48"/>
      <c r="O6" s="48"/>
      <c r="P6" s="48"/>
      <c r="Q6" s="48"/>
      <c r="R6" s="48"/>
      <c r="S6" s="48"/>
      <c r="T6" s="48"/>
      <c r="U6" s="48"/>
      <c r="V6" s="48"/>
      <c r="W6" s="48"/>
      <c r="X6" s="48"/>
    </row>
    <row r="7" spans="1:24" x14ac:dyDescent="0.3">
      <c r="A7" s="48"/>
      <c r="B7" s="48"/>
      <c r="C7" s="48"/>
      <c r="D7" s="48"/>
      <c r="E7" s="48"/>
      <c r="F7" s="48"/>
      <c r="G7" s="48"/>
      <c r="H7" s="48"/>
      <c r="I7" s="48"/>
      <c r="J7" s="48"/>
      <c r="K7" s="48"/>
      <c r="L7" s="48"/>
      <c r="M7" s="48"/>
      <c r="N7" s="48"/>
      <c r="O7" s="48"/>
      <c r="P7" s="48"/>
      <c r="Q7" s="48"/>
      <c r="R7" s="48"/>
      <c r="S7" s="48"/>
      <c r="T7" s="48"/>
      <c r="U7" s="48"/>
      <c r="V7" s="48"/>
      <c r="W7" s="48"/>
      <c r="X7" s="48"/>
    </row>
    <row r="8" spans="1:24" x14ac:dyDescent="0.3">
      <c r="A8" s="48"/>
      <c r="B8" s="48"/>
      <c r="C8" s="48"/>
      <c r="D8" s="48"/>
      <c r="E8" s="48"/>
      <c r="F8" s="48"/>
      <c r="G8" s="48"/>
      <c r="H8" s="48"/>
      <c r="I8" s="48"/>
      <c r="J8" s="48"/>
      <c r="K8" s="48"/>
      <c r="L8" s="48"/>
      <c r="M8" s="48"/>
      <c r="N8" s="48"/>
      <c r="O8" s="48"/>
      <c r="P8" s="48"/>
      <c r="Q8" s="48"/>
      <c r="R8" s="48"/>
      <c r="S8" s="48"/>
      <c r="T8" s="48"/>
      <c r="U8" s="48"/>
      <c r="V8" s="48"/>
      <c r="W8" s="48"/>
      <c r="X8" s="48"/>
    </row>
    <row r="9" spans="1:24" x14ac:dyDescent="0.3">
      <c r="A9" s="48"/>
      <c r="B9" s="48"/>
      <c r="C9" s="48"/>
      <c r="D9" s="48"/>
      <c r="E9" s="48"/>
      <c r="F9" s="48"/>
      <c r="G9" s="48"/>
      <c r="H9" s="48"/>
      <c r="I9" s="48"/>
      <c r="J9" s="48"/>
      <c r="K9" s="48"/>
      <c r="L9" s="48"/>
      <c r="M9" s="48"/>
      <c r="N9" s="48"/>
      <c r="O9" s="48"/>
      <c r="P9" s="48"/>
      <c r="Q9" s="48"/>
      <c r="R9" s="48"/>
      <c r="S9" s="48"/>
      <c r="T9" s="48"/>
      <c r="U9" s="48"/>
      <c r="V9" s="48"/>
      <c r="W9" s="48"/>
      <c r="X9" s="48"/>
    </row>
    <row r="10" spans="1:24" x14ac:dyDescent="0.3">
      <c r="A10" s="48"/>
      <c r="B10" s="48"/>
      <c r="C10" s="48"/>
      <c r="D10" s="48"/>
      <c r="E10" s="48"/>
      <c r="F10" s="48"/>
      <c r="G10" s="48"/>
      <c r="H10" s="48"/>
      <c r="I10" s="48"/>
      <c r="J10" s="48"/>
      <c r="K10" s="48"/>
      <c r="L10" s="48"/>
      <c r="M10" s="48"/>
      <c r="N10" s="48"/>
      <c r="O10" s="48"/>
      <c r="P10" s="48"/>
      <c r="Q10" s="48"/>
      <c r="R10" s="48"/>
      <c r="S10" s="48"/>
      <c r="T10" s="48"/>
      <c r="U10" s="48"/>
      <c r="V10" s="48"/>
      <c r="W10" s="48"/>
      <c r="X10" s="48"/>
    </row>
    <row r="11" spans="1:24" x14ac:dyDescent="0.3">
      <c r="A11" s="48"/>
      <c r="B11" s="48"/>
      <c r="C11" s="48"/>
      <c r="D11" s="48"/>
      <c r="E11" s="48"/>
      <c r="F11" s="48"/>
      <c r="G11" s="48"/>
      <c r="H11" s="48"/>
      <c r="I11" s="48"/>
      <c r="J11" s="48"/>
      <c r="K11" s="48"/>
      <c r="L11" s="48"/>
      <c r="M11" s="48"/>
      <c r="N11" s="48"/>
      <c r="O11" s="48"/>
      <c r="P11" s="48"/>
      <c r="Q11" s="48"/>
      <c r="R11" s="48"/>
      <c r="S11" s="48"/>
      <c r="T11" s="48"/>
      <c r="U11" s="48"/>
      <c r="V11" s="48"/>
      <c r="W11" s="48"/>
      <c r="X11" s="48"/>
    </row>
    <row r="12" spans="1:24" x14ac:dyDescent="0.3">
      <c r="A12" s="48"/>
      <c r="B12" s="48"/>
      <c r="C12" s="48"/>
      <c r="D12" s="48"/>
      <c r="E12" s="48"/>
      <c r="F12" s="48"/>
      <c r="G12" s="48"/>
      <c r="H12" s="48"/>
      <c r="I12" s="48"/>
      <c r="J12" s="48"/>
      <c r="K12" s="48"/>
      <c r="L12" s="48"/>
      <c r="M12" s="48"/>
      <c r="N12" s="48"/>
      <c r="O12" s="48"/>
      <c r="P12" s="48"/>
      <c r="Q12" s="48"/>
      <c r="R12" s="48"/>
      <c r="S12" s="48"/>
      <c r="T12" s="48"/>
      <c r="U12" s="48"/>
      <c r="V12" s="48"/>
      <c r="W12" s="48"/>
      <c r="X12" s="48"/>
    </row>
    <row r="13" spans="1:24" x14ac:dyDescent="0.3">
      <c r="A13" s="48"/>
      <c r="B13" s="48"/>
      <c r="C13" s="48"/>
      <c r="D13" s="48"/>
      <c r="E13" s="48"/>
      <c r="F13" s="48"/>
      <c r="G13" s="48"/>
      <c r="H13" s="48"/>
      <c r="I13" s="48"/>
      <c r="J13" s="48"/>
      <c r="K13" s="48"/>
      <c r="L13" s="48"/>
      <c r="M13" s="48"/>
      <c r="N13" s="48"/>
      <c r="O13" s="48"/>
      <c r="P13" s="48"/>
      <c r="Q13" s="48"/>
      <c r="R13" s="48"/>
      <c r="S13" s="48"/>
      <c r="T13" s="48"/>
      <c r="U13" s="48"/>
      <c r="V13" s="48"/>
      <c r="W13" s="48"/>
      <c r="X13" s="48"/>
    </row>
    <row r="14" spans="1:24" x14ac:dyDescent="0.3">
      <c r="A14" s="48"/>
      <c r="B14" s="48"/>
      <c r="C14" s="48"/>
      <c r="D14" s="48"/>
      <c r="E14" s="48"/>
      <c r="F14" s="48"/>
      <c r="G14" s="48"/>
      <c r="H14" s="48"/>
      <c r="I14" s="48"/>
      <c r="J14" s="48"/>
      <c r="K14" s="48"/>
      <c r="L14" s="48"/>
      <c r="M14" s="48"/>
      <c r="N14" s="48"/>
      <c r="O14" s="48"/>
      <c r="P14" s="48"/>
      <c r="Q14" s="48"/>
      <c r="R14" s="48"/>
      <c r="S14" s="48"/>
      <c r="T14" s="48"/>
      <c r="U14" s="48"/>
      <c r="V14" s="48"/>
      <c r="W14" s="48"/>
      <c r="X14" s="48"/>
    </row>
    <row r="15" spans="1:24" x14ac:dyDescent="0.3">
      <c r="A15" s="48"/>
      <c r="B15" s="48"/>
      <c r="C15" s="48"/>
      <c r="D15" s="48"/>
      <c r="E15" s="48"/>
      <c r="F15" s="48"/>
      <c r="G15" s="48"/>
      <c r="H15" s="48"/>
      <c r="I15" s="48"/>
      <c r="J15" s="48"/>
      <c r="K15" s="48"/>
      <c r="L15" s="48"/>
      <c r="M15" s="48"/>
      <c r="N15" s="48"/>
      <c r="O15" s="48"/>
      <c r="P15" s="48"/>
      <c r="Q15" s="48"/>
      <c r="R15" s="48"/>
      <c r="S15" s="48"/>
      <c r="T15" s="48"/>
      <c r="U15" s="48"/>
      <c r="V15" s="48"/>
      <c r="W15" s="48"/>
      <c r="X15" s="48"/>
    </row>
    <row r="16" spans="1:24" x14ac:dyDescent="0.3">
      <c r="A16" s="48"/>
      <c r="B16" s="48"/>
      <c r="C16" s="48"/>
      <c r="D16" s="48"/>
      <c r="E16" s="48"/>
      <c r="F16" s="48"/>
      <c r="G16" s="48"/>
      <c r="H16" s="48"/>
      <c r="I16" s="48"/>
      <c r="J16" s="48"/>
      <c r="K16" s="48"/>
      <c r="L16" s="48"/>
      <c r="M16" s="48"/>
      <c r="N16" s="48"/>
      <c r="O16" s="48"/>
      <c r="P16" s="48"/>
      <c r="Q16" s="48"/>
      <c r="R16" s="48"/>
      <c r="S16" s="48"/>
      <c r="T16" s="48"/>
      <c r="U16" s="48"/>
      <c r="V16" s="48"/>
      <c r="W16" s="48"/>
      <c r="X16" s="48"/>
    </row>
    <row r="17" spans="1:24" x14ac:dyDescent="0.3">
      <c r="A17" s="48"/>
      <c r="B17" s="48"/>
      <c r="C17" s="48"/>
      <c r="D17" s="48"/>
      <c r="E17" s="48"/>
      <c r="F17" s="48"/>
      <c r="G17" s="48"/>
      <c r="H17" s="48"/>
      <c r="I17" s="48"/>
      <c r="J17" s="48"/>
      <c r="K17" s="48"/>
      <c r="L17" s="48"/>
      <c r="M17" s="48"/>
      <c r="N17" s="48"/>
      <c r="O17" s="48"/>
      <c r="P17" s="48"/>
      <c r="Q17" s="48"/>
      <c r="R17" s="48"/>
      <c r="S17" s="48"/>
      <c r="T17" s="48"/>
      <c r="U17" s="48"/>
      <c r="V17" s="48"/>
      <c r="W17" s="48"/>
      <c r="X17" s="48"/>
    </row>
    <row r="18" spans="1:24" x14ac:dyDescent="0.3">
      <c r="A18" s="48"/>
      <c r="B18" s="48"/>
      <c r="C18" s="48"/>
      <c r="D18" s="48"/>
      <c r="E18" s="48"/>
      <c r="F18" s="48"/>
      <c r="G18" s="48"/>
      <c r="H18" s="48"/>
      <c r="I18" s="48"/>
      <c r="J18" s="48"/>
      <c r="K18" s="48"/>
      <c r="L18" s="48"/>
      <c r="M18" s="48"/>
      <c r="N18" s="48"/>
      <c r="O18" s="48"/>
      <c r="P18" s="48"/>
      <c r="Q18" s="48"/>
      <c r="R18" s="48"/>
      <c r="S18" s="48"/>
      <c r="T18" s="48"/>
      <c r="U18" s="48"/>
      <c r="V18" s="48"/>
      <c r="W18" s="48"/>
      <c r="X18" s="48"/>
    </row>
    <row r="19" spans="1:24" x14ac:dyDescent="0.3">
      <c r="A19" s="48"/>
      <c r="B19" s="48"/>
      <c r="C19" s="48"/>
      <c r="D19" s="48"/>
      <c r="E19" s="48"/>
      <c r="F19" s="48"/>
      <c r="G19" s="48"/>
      <c r="H19" s="48"/>
      <c r="I19" s="48"/>
      <c r="J19" s="48"/>
      <c r="K19" s="48"/>
      <c r="L19" s="48"/>
      <c r="M19" s="48"/>
      <c r="N19" s="48"/>
      <c r="O19" s="48"/>
      <c r="P19" s="48"/>
      <c r="Q19" s="48"/>
      <c r="R19" s="48"/>
      <c r="S19" s="48"/>
      <c r="T19" s="48"/>
      <c r="U19" s="48"/>
      <c r="V19" s="48"/>
      <c r="W19" s="48"/>
      <c r="X19" s="48"/>
    </row>
    <row r="20" spans="1:24" x14ac:dyDescent="0.3">
      <c r="A20" s="48"/>
      <c r="B20" s="48"/>
      <c r="C20" s="48"/>
      <c r="D20" s="48"/>
      <c r="E20" s="48"/>
      <c r="F20" s="48"/>
      <c r="G20" s="48"/>
      <c r="H20" s="48"/>
      <c r="I20" s="48"/>
      <c r="J20" s="48"/>
      <c r="K20" s="48"/>
      <c r="L20" s="48"/>
      <c r="M20" s="48"/>
      <c r="N20" s="48"/>
      <c r="O20" s="48"/>
      <c r="P20" s="48"/>
      <c r="Q20" s="48"/>
      <c r="R20" s="48"/>
      <c r="S20" s="48"/>
      <c r="T20" s="48"/>
      <c r="U20" s="48"/>
      <c r="V20" s="48"/>
      <c r="W20" s="48"/>
      <c r="X20" s="48"/>
    </row>
    <row r="21" spans="1:24" x14ac:dyDescent="0.3">
      <c r="A21" s="48"/>
      <c r="B21" s="48"/>
      <c r="C21" s="48"/>
      <c r="D21" s="48"/>
      <c r="E21" s="48"/>
      <c r="F21" s="48"/>
      <c r="G21" s="48"/>
      <c r="H21" s="48"/>
      <c r="I21" s="48"/>
      <c r="J21" s="48"/>
      <c r="K21" s="48"/>
      <c r="L21" s="48"/>
      <c r="M21" s="48"/>
      <c r="N21" s="48"/>
      <c r="O21" s="48"/>
      <c r="P21" s="48"/>
      <c r="Q21" s="48"/>
      <c r="R21" s="48"/>
      <c r="S21" s="48"/>
      <c r="T21" s="48"/>
      <c r="U21" s="48"/>
      <c r="V21" s="48"/>
      <c r="W21" s="48"/>
      <c r="X21" s="48"/>
    </row>
    <row r="22" spans="1:24" x14ac:dyDescent="0.3">
      <c r="A22" s="48"/>
      <c r="B22" s="48"/>
      <c r="C22" s="48"/>
      <c r="D22" s="48"/>
      <c r="E22" s="48"/>
      <c r="F22" s="48"/>
      <c r="G22" s="48"/>
      <c r="H22" s="48"/>
      <c r="I22" s="48"/>
      <c r="J22" s="48"/>
      <c r="K22" s="48"/>
      <c r="L22" s="48"/>
      <c r="M22" s="48"/>
      <c r="N22" s="48"/>
      <c r="O22" s="48"/>
      <c r="P22" s="48"/>
      <c r="Q22" s="48"/>
      <c r="R22" s="48"/>
      <c r="S22" s="48"/>
      <c r="T22" s="48"/>
      <c r="U22" s="48"/>
      <c r="V22" s="48"/>
      <c r="W22" s="48"/>
      <c r="X22" s="48"/>
    </row>
    <row r="23" spans="1:24" x14ac:dyDescent="0.3">
      <c r="A23" s="48"/>
      <c r="B23" s="48"/>
      <c r="C23" s="48"/>
      <c r="D23" s="48"/>
      <c r="E23" s="48"/>
      <c r="F23" s="48"/>
      <c r="G23" s="48"/>
      <c r="H23" s="48"/>
      <c r="I23" s="48"/>
      <c r="J23" s="48"/>
      <c r="K23" s="48"/>
      <c r="L23" s="48"/>
      <c r="M23" s="48"/>
      <c r="N23" s="48"/>
      <c r="O23" s="48"/>
      <c r="P23" s="48"/>
      <c r="Q23" s="48"/>
      <c r="R23" s="48"/>
      <c r="S23" s="48"/>
      <c r="T23" s="48"/>
      <c r="U23" s="48"/>
      <c r="V23" s="48"/>
      <c r="W23" s="48"/>
      <c r="X23" s="48"/>
    </row>
    <row r="24" spans="1:24" x14ac:dyDescent="0.3">
      <c r="A24" s="48"/>
      <c r="B24" s="48"/>
      <c r="C24" s="48"/>
      <c r="D24" s="48"/>
      <c r="E24" s="48"/>
      <c r="F24" s="48"/>
      <c r="G24" s="48"/>
      <c r="H24" s="48"/>
      <c r="I24" s="48"/>
      <c r="J24" s="48"/>
      <c r="K24" s="48"/>
      <c r="L24" s="48"/>
      <c r="M24" s="48"/>
      <c r="N24" s="48"/>
      <c r="O24" s="48"/>
      <c r="P24" s="48"/>
      <c r="Q24" s="48"/>
      <c r="R24" s="48"/>
      <c r="S24" s="48"/>
      <c r="T24" s="48"/>
      <c r="U24" s="48"/>
      <c r="V24" s="48"/>
      <c r="W24" s="48"/>
      <c r="X24" s="48"/>
    </row>
    <row r="25" spans="1:24" x14ac:dyDescent="0.3">
      <c r="A25" s="48"/>
      <c r="B25" s="48"/>
      <c r="C25" s="48"/>
      <c r="D25" s="48"/>
      <c r="E25" s="48"/>
      <c r="F25" s="48"/>
      <c r="G25" s="48"/>
      <c r="H25" s="48"/>
      <c r="I25" s="48"/>
      <c r="J25" s="48"/>
      <c r="K25" s="48"/>
      <c r="L25" s="48"/>
      <c r="M25" s="48"/>
      <c r="N25" s="48"/>
      <c r="O25" s="48"/>
      <c r="P25" s="48"/>
      <c r="Q25" s="48"/>
      <c r="R25" s="48"/>
      <c r="S25" s="48"/>
      <c r="T25" s="48"/>
      <c r="U25" s="48"/>
      <c r="V25" s="48"/>
      <c r="W25" s="48"/>
      <c r="X25" s="48"/>
    </row>
    <row r="26" spans="1:24" x14ac:dyDescent="0.3">
      <c r="A26" s="48"/>
      <c r="B26" s="48"/>
      <c r="C26" s="48"/>
      <c r="D26" s="48"/>
      <c r="E26" s="48"/>
      <c r="F26" s="48"/>
      <c r="G26" s="48"/>
      <c r="H26" s="48"/>
      <c r="I26" s="48"/>
      <c r="J26" s="48"/>
      <c r="K26" s="48"/>
      <c r="L26" s="48"/>
      <c r="M26" s="48"/>
      <c r="N26" s="48"/>
      <c r="O26" s="48"/>
      <c r="P26" s="48"/>
      <c r="Q26" s="48"/>
      <c r="R26" s="48"/>
      <c r="S26" s="48"/>
      <c r="T26" s="48"/>
      <c r="U26" s="48"/>
      <c r="V26" s="48"/>
      <c r="W26" s="48"/>
      <c r="X26" s="48"/>
    </row>
    <row r="27" spans="1:24" x14ac:dyDescent="0.3">
      <c r="A27" s="48"/>
      <c r="B27" s="48"/>
      <c r="C27" s="48"/>
      <c r="D27" s="48"/>
      <c r="E27" s="48"/>
      <c r="F27" s="48"/>
      <c r="G27" s="48"/>
      <c r="H27" s="48"/>
      <c r="I27" s="48"/>
      <c r="J27" s="48"/>
      <c r="K27" s="48"/>
      <c r="L27" s="48"/>
      <c r="M27" s="48"/>
      <c r="N27" s="48"/>
      <c r="O27" s="48"/>
      <c r="P27" s="48"/>
      <c r="Q27" s="48"/>
      <c r="R27" s="48"/>
      <c r="S27" s="48"/>
      <c r="T27" s="48"/>
      <c r="U27" s="48"/>
      <c r="V27" s="48"/>
      <c r="W27" s="48"/>
      <c r="X27" s="48"/>
    </row>
    <row r="28" spans="1:24" x14ac:dyDescent="0.3">
      <c r="A28" s="48"/>
      <c r="B28" s="48"/>
      <c r="C28" s="48"/>
      <c r="D28" s="48"/>
      <c r="E28" s="48"/>
      <c r="F28" s="48"/>
      <c r="G28" s="48"/>
      <c r="H28" s="48"/>
      <c r="I28" s="48"/>
      <c r="J28" s="48"/>
      <c r="K28" s="48"/>
      <c r="L28" s="48"/>
      <c r="M28" s="48"/>
      <c r="N28" s="48"/>
      <c r="O28" s="48"/>
      <c r="P28" s="48"/>
      <c r="Q28" s="48"/>
      <c r="R28" s="48"/>
      <c r="S28" s="48"/>
      <c r="T28" s="48"/>
      <c r="U28" s="48"/>
      <c r="V28" s="48"/>
      <c r="W28" s="48"/>
      <c r="X28" s="4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BusinessProblem</vt:lpstr>
      <vt:lpstr>FieldDetails</vt:lpstr>
      <vt:lpstr>pivot tables</vt:lpstr>
      <vt:lpstr>Sheet2</vt:lpstr>
      <vt:lpstr>LoanData</vt:lpstr>
      <vt:lpstr>PivotProblems</vt:lpstr>
      <vt:lpstr>RISK ANALYSIS DASHBORD</vt:lpstr>
      <vt:lpstr>MAIN 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Balakrishnan</dc:creator>
  <cp:lastModifiedBy>muhammadjasel10@gmail.com</cp:lastModifiedBy>
  <dcterms:created xsi:type="dcterms:W3CDTF">2026-09-17T05:48:01Z</dcterms:created>
  <dcterms:modified xsi:type="dcterms:W3CDTF">2026-10-14T07:14:56Z</dcterms:modified>
</cp:coreProperties>
</file>